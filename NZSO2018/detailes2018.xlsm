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lients\VivaDance\NZSO2018\"/>
    </mc:Choice>
  </mc:AlternateContent>
  <bookViews>
    <workbookView xWindow="0" yWindow="0" windowWidth="11496" windowHeight="9276" tabRatio="999" activeTab="10"/>
  </bookViews>
  <sheets>
    <sheet name="divisions" sheetId="3" r:id="rId1"/>
    <sheet name="categories" sheetId="4" r:id="rId2"/>
    <sheet name="competitors" sheetId="1" r:id="rId3"/>
    <sheet name="competitions" sheetId="2" r:id="rId4"/>
    <sheet name="judges" sheetId="7" r:id="rId5"/>
    <sheet name="RawEntrees" sheetId="8" r:id="rId6"/>
    <sheet name="Manual Scores" sheetId="6" r:id="rId7"/>
    <sheet name="J0" sheetId="9" r:id="rId8"/>
    <sheet name="J1" sheetId="10" r:id="rId9"/>
    <sheet name="J2" sheetId="11" r:id="rId10"/>
    <sheet name="J3" sheetId="12" r:id="rId11"/>
    <sheet name="J4" sheetId="13" r:id="rId12"/>
    <sheet name="J5" sheetId="14" r:id="rId13"/>
  </sheets>
  <functionGroups builtInGroupCount="18"/>
  <definedNames>
    <definedName name="_xlnm.Print_Area" localSheetId="7">J0!$A$1:$C$47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4" i="1"/>
  <c r="F34" i="1" s="1"/>
  <c r="C35" i="1"/>
  <c r="F35" i="1"/>
  <c r="C36" i="1"/>
  <c r="C37" i="1"/>
  <c r="C38" i="1"/>
  <c r="F38" i="1"/>
  <c r="C39" i="1"/>
  <c r="F39" i="1"/>
  <c r="C40" i="1"/>
  <c r="F40" i="1" s="1"/>
  <c r="C41" i="1"/>
  <c r="F41" i="1" s="1"/>
  <c r="C42" i="1"/>
  <c r="F42" i="1"/>
  <c r="C43" i="1"/>
  <c r="F43" i="1" s="1"/>
  <c r="C44" i="1"/>
  <c r="F44" i="1" s="1"/>
  <c r="C45" i="1"/>
  <c r="F45" i="1"/>
  <c r="F37" i="1" l="1"/>
  <c r="F36" i="1"/>
  <c r="F33" i="1"/>
  <c r="F23" i="2"/>
  <c r="F22" i="2"/>
  <c r="D14" i="4"/>
  <c r="D42" i="4"/>
  <c r="F17" i="2"/>
  <c r="AB17" i="2" s="1"/>
  <c r="D6" i="4"/>
  <c r="D16" i="4"/>
  <c r="F16" i="2"/>
  <c r="F15" i="2"/>
  <c r="F14" i="2"/>
  <c r="F13" i="2"/>
  <c r="F12" i="2"/>
  <c r="AB12" i="2" s="1"/>
  <c r="F11" i="2"/>
  <c r="AB11" i="2" s="1"/>
  <c r="B22" i="2" l="1"/>
  <c r="C22" i="2" s="1"/>
  <c r="J22" i="2" s="1"/>
  <c r="B23" i="2"/>
  <c r="C23" i="2" s="1"/>
  <c r="J23" i="2" s="1"/>
  <c r="B17" i="2"/>
  <c r="C17" i="2" s="1"/>
  <c r="J17" i="2" s="1"/>
  <c r="B16" i="2"/>
  <c r="C16" i="2" s="1"/>
  <c r="J16" i="2" s="1"/>
  <c r="B15" i="2"/>
  <c r="C15" i="2" s="1"/>
  <c r="J15" i="2" s="1"/>
  <c r="B14" i="2"/>
  <c r="C14" i="2" s="1"/>
  <c r="J14" i="2" s="1"/>
  <c r="B13" i="2"/>
  <c r="C13" i="2" s="1"/>
  <c r="J13" i="2" s="1"/>
  <c r="B12" i="2"/>
  <c r="C12" i="2" s="1"/>
  <c r="J12" i="2" s="1"/>
  <c r="B11" i="2"/>
  <c r="C11" i="2" s="1"/>
  <c r="J11" i="2" s="1"/>
  <c r="E14" i="3"/>
  <c r="D14" i="3"/>
  <c r="G14" i="3" s="1"/>
  <c r="F3" i="2"/>
  <c r="F5" i="2"/>
  <c r="F6" i="2"/>
  <c r="F7" i="2"/>
  <c r="F8" i="2"/>
  <c r="F9" i="2"/>
  <c r="F10" i="2"/>
  <c r="F18" i="2"/>
  <c r="F19" i="2"/>
  <c r="F20" i="2"/>
  <c r="F21" i="2"/>
  <c r="F24" i="2"/>
  <c r="F25" i="2"/>
  <c r="F2" i="2"/>
  <c r="F4" i="2"/>
  <c r="B3" i="2" l="1"/>
  <c r="C3" i="2" s="1"/>
  <c r="B2" i="2"/>
  <c r="E13" i="3"/>
  <c r="D13" i="3"/>
  <c r="G13" i="3" s="1"/>
  <c r="J3" i="2" l="1"/>
  <c r="D2" i="4"/>
  <c r="D3" i="4"/>
  <c r="D4" i="4"/>
  <c r="D5" i="4"/>
  <c r="D7" i="4"/>
  <c r="AB16" i="2" s="1"/>
  <c r="D8" i="4"/>
  <c r="D9" i="4"/>
  <c r="D10" i="4"/>
  <c r="AB23" i="2" s="1"/>
  <c r="D11" i="4"/>
  <c r="D12" i="4"/>
  <c r="D13" i="4"/>
  <c r="D15" i="4"/>
  <c r="D17" i="4"/>
  <c r="AB15" i="2" s="1"/>
  <c r="D18" i="4"/>
  <c r="D19" i="4"/>
  <c r="D20" i="4"/>
  <c r="D21" i="4"/>
  <c r="D22" i="4"/>
  <c r="D23" i="4"/>
  <c r="D24" i="4"/>
  <c r="D25" i="4"/>
  <c r="AB22" i="2" s="1"/>
  <c r="D26" i="4"/>
  <c r="D27" i="4"/>
  <c r="D28" i="4"/>
  <c r="D29" i="4"/>
  <c r="AB3" i="2" s="1"/>
  <c r="D30" i="4"/>
  <c r="D31" i="4"/>
  <c r="D32" i="4"/>
  <c r="D33" i="4"/>
  <c r="D34" i="4"/>
  <c r="D35" i="4"/>
  <c r="D36" i="4"/>
  <c r="D37" i="4"/>
  <c r="D38" i="4"/>
  <c r="D39" i="4"/>
  <c r="D40" i="4"/>
  <c r="D41" i="4"/>
  <c r="D43" i="4"/>
  <c r="D1" i="4"/>
  <c r="C32" i="1"/>
  <c r="C31" i="1"/>
  <c r="F31" i="1" s="1"/>
  <c r="C30" i="1"/>
  <c r="F30" i="1" s="1"/>
  <c r="C29" i="1"/>
  <c r="F29" i="1" s="1"/>
  <c r="C28" i="1"/>
  <c r="F28" i="1" s="1"/>
  <c r="C27" i="1"/>
  <c r="F27" i="1" s="1"/>
  <c r="C26" i="1"/>
  <c r="F26" i="1" s="1"/>
  <c r="C25" i="1"/>
  <c r="F25" i="1" s="1"/>
  <c r="C24" i="1"/>
  <c r="F24" i="1" s="1"/>
  <c r="C23" i="1"/>
  <c r="F23" i="1" s="1"/>
  <c r="C22" i="1"/>
  <c r="F22" i="1" s="1"/>
  <c r="C21" i="1"/>
  <c r="F21" i="1" s="1"/>
  <c r="C20" i="1"/>
  <c r="F20" i="1" s="1"/>
  <c r="C19" i="1"/>
  <c r="F19" i="1" s="1"/>
  <c r="C18" i="1"/>
  <c r="F18" i="1" s="1"/>
  <c r="C17" i="1"/>
  <c r="F17" i="1" s="1"/>
  <c r="C16" i="1"/>
  <c r="F16" i="1" s="1"/>
  <c r="C15" i="1"/>
  <c r="F15" i="1" s="1"/>
  <c r="C14" i="1"/>
  <c r="F14" i="1" s="1"/>
  <c r="C13" i="1"/>
  <c r="F13" i="1" s="1"/>
  <c r="C12" i="1"/>
  <c r="F12" i="1" s="1"/>
  <c r="C11" i="1"/>
  <c r="F11" i="1" s="1"/>
  <c r="C10" i="1"/>
  <c r="F10" i="1" s="1"/>
  <c r="C9" i="1"/>
  <c r="F9" i="1" s="1"/>
  <c r="C8" i="1"/>
  <c r="F8" i="1" s="1"/>
  <c r="C7" i="1"/>
  <c r="F7" i="1" s="1"/>
  <c r="C6" i="1"/>
  <c r="F6" i="1" s="1"/>
  <c r="C5" i="1"/>
  <c r="F5" i="1" s="1"/>
  <c r="C4" i="1"/>
  <c r="F4" i="1" s="1"/>
  <c r="C3" i="1"/>
  <c r="F3" i="1" s="1"/>
  <c r="C2" i="1"/>
  <c r="F2" i="1" s="1"/>
  <c r="A48" i="1"/>
  <c r="AB13" i="2" l="1"/>
  <c r="AB14" i="2"/>
  <c r="F32" i="1"/>
  <c r="AB20" i="2"/>
  <c r="AB10" i="2"/>
  <c r="AB21" i="2"/>
  <c r="AB9" i="2"/>
  <c r="AB18" i="2"/>
  <c r="AB24" i="2"/>
  <c r="AB19" i="2"/>
  <c r="AB25" i="2"/>
  <c r="B25" i="2"/>
  <c r="C25" i="2" s="1"/>
  <c r="B24" i="2"/>
  <c r="C24" i="2" s="1"/>
  <c r="J24" i="2" s="1"/>
  <c r="B21" i="2"/>
  <c r="C21" i="2" s="1"/>
  <c r="J21" i="2" s="1"/>
  <c r="B20" i="2"/>
  <c r="C20" i="2" s="1"/>
  <c r="J20" i="2" s="1"/>
  <c r="B19" i="2"/>
  <c r="C19" i="2" s="1"/>
  <c r="J19" i="2" s="1"/>
  <c r="B18" i="2"/>
  <c r="C18" i="2" s="1"/>
  <c r="J18" i="2" s="1"/>
  <c r="B10" i="2"/>
  <c r="C10" i="2" s="1"/>
  <c r="J10" i="2" s="1"/>
  <c r="B9" i="2"/>
  <c r="C9" i="2" s="1"/>
  <c r="J9" i="2" s="1"/>
  <c r="AB8" i="2"/>
  <c r="J25" i="2" l="1"/>
  <c r="B8" i="2"/>
  <c r="C8" i="2" s="1"/>
  <c r="B4" i="1"/>
  <c r="B3" i="1"/>
  <c r="J8" i="2" l="1"/>
  <c r="AB4" i="2"/>
  <c r="AB5" i="2"/>
  <c r="AB6" i="2"/>
  <c r="AB7" i="2"/>
  <c r="AB2" i="2" l="1"/>
  <c r="B4" i="2"/>
  <c r="B7" i="2"/>
  <c r="B6" i="2"/>
  <c r="B5" i="2"/>
  <c r="D1" i="3"/>
  <c r="G1" i="3" s="1"/>
  <c r="D2" i="3"/>
  <c r="G2" i="3" s="1"/>
  <c r="D10" i="3"/>
  <c r="G10" i="3" s="1"/>
  <c r="D7" i="3"/>
  <c r="G7" i="3" s="1"/>
  <c r="D5" i="3"/>
  <c r="G5" i="3" s="1"/>
  <c r="D6" i="3"/>
  <c r="G6" i="3" s="1"/>
  <c r="D3" i="3"/>
  <c r="G3" i="3" s="1"/>
  <c r="D11" i="3"/>
  <c r="G11" i="3" s="1"/>
  <c r="D8" i="3"/>
  <c r="G8" i="3" s="1"/>
  <c r="D4" i="3"/>
  <c r="G4" i="3" s="1"/>
  <c r="D12" i="3"/>
  <c r="G12" i="3" s="1"/>
  <c r="D9" i="3"/>
  <c r="G9" i="3" s="1"/>
  <c r="D15" i="3"/>
  <c r="G15" i="3" s="1"/>
  <c r="E1" i="3"/>
  <c r="E2" i="3"/>
  <c r="E10" i="3"/>
  <c r="E7" i="3"/>
  <c r="E5" i="3"/>
  <c r="E6" i="3"/>
  <c r="E3" i="3"/>
  <c r="E11" i="3"/>
  <c r="E8" i="3"/>
  <c r="E4" i="3"/>
  <c r="E12" i="3"/>
  <c r="E9" i="3"/>
  <c r="E15" i="3"/>
  <c r="I19" i="6" l="1"/>
  <c r="J19" i="6" s="1"/>
  <c r="I18" i="6"/>
  <c r="J18" i="6" s="1"/>
  <c r="I17" i="6"/>
  <c r="J17" i="6" s="1"/>
  <c r="I16" i="6"/>
  <c r="J16" i="6" s="1"/>
  <c r="I15" i="6"/>
  <c r="J15" i="6" s="1"/>
  <c r="I27" i="6"/>
  <c r="J27" i="6" s="1"/>
  <c r="I26" i="6"/>
  <c r="J26" i="6" s="1"/>
  <c r="I25" i="6"/>
  <c r="J25" i="6" s="1"/>
  <c r="I24" i="6"/>
  <c r="J24" i="6" s="1"/>
  <c r="I23" i="6"/>
  <c r="J23" i="6" s="1"/>
  <c r="I4" i="6"/>
  <c r="J4" i="6" s="1"/>
  <c r="I5" i="6"/>
  <c r="J5" i="6" s="1"/>
  <c r="I6" i="6"/>
  <c r="J6" i="6" s="1"/>
  <c r="I7" i="6"/>
  <c r="J7" i="6" s="1"/>
  <c r="I3" i="6"/>
  <c r="J3" i="6" s="1"/>
  <c r="J20" i="6" l="1"/>
  <c r="K20" i="6" s="1"/>
  <c r="J28" i="6"/>
  <c r="J8" i="6"/>
  <c r="C2" i="2"/>
  <c r="C4" i="2"/>
  <c r="J4" i="2" s="1"/>
  <c r="C5" i="2"/>
  <c r="J5" i="2" s="1"/>
  <c r="C6" i="2"/>
  <c r="J6" i="2" s="1"/>
  <c r="C7" i="2"/>
  <c r="A27" i="2"/>
  <c r="J7" i="2" l="1"/>
  <c r="J2" i="2"/>
  <c r="B2" i="1" l="1"/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5" i="1"/>
  <c r="B28" i="1" l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27" i="1"/>
  <c r="E40" i="2"/>
</calcChain>
</file>

<file path=xl/sharedStrings.xml><?xml version="1.0" encoding="utf-8"?>
<sst xmlns="http://schemas.openxmlformats.org/spreadsheetml/2006/main" count="972" uniqueCount="208">
  <si>
    <t xml:space="preserve"> </t>
  </si>
  <si>
    <t>team#</t>
  </si>
  <si>
    <t>CompetitorType.CouplesTeam</t>
  </si>
  <si>
    <t>team Type</t>
  </si>
  <si>
    <t>CompetitorType.Soloist</t>
  </si>
  <si>
    <t>CompetitorType.Couple</t>
  </si>
  <si>
    <t>divSemiPro</t>
  </si>
  <si>
    <t>divAmatuer</t>
  </si>
  <si>
    <t>Salsa Couples</t>
  </si>
  <si>
    <t xml:space="preserve">Semi Pro Solo Female </t>
  </si>
  <si>
    <t>divYouth</t>
  </si>
  <si>
    <t>divAdultFree</t>
  </si>
  <si>
    <t>divProf</t>
  </si>
  <si>
    <t>divOpen</t>
  </si>
  <si>
    <t>divProAm</t>
  </si>
  <si>
    <t>Advanced</t>
  </si>
  <si>
    <t>Bachata Couples</t>
  </si>
  <si>
    <t>Beginner</t>
  </si>
  <si>
    <t>Intermediate</t>
  </si>
  <si>
    <t>Latin Shines Teams</t>
  </si>
  <si>
    <t>Latin Teams</t>
  </si>
  <si>
    <t>Salsa Couples Follower Pro</t>
  </si>
  <si>
    <t>Salsa Couples Lead Pro</t>
  </si>
  <si>
    <t>Salsa Shines Duets</t>
  </si>
  <si>
    <t>Salsa Shines Teams</t>
  </si>
  <si>
    <t>Salsa Solo Female</t>
  </si>
  <si>
    <t>Salsa Solo Male</t>
  </si>
  <si>
    <t>Salsa Teams</t>
  </si>
  <si>
    <t>Under 18 Amateur Couples</t>
  </si>
  <si>
    <t>Under 18 Latin Solo Team</t>
  </si>
  <si>
    <t>Under 18 Latin Teams</t>
  </si>
  <si>
    <t>Under 18 Mixed Latin Solo</t>
  </si>
  <si>
    <t>Under 18 Mixed Salsa Solo</t>
  </si>
  <si>
    <t>Under 18 Salsa Solo Team</t>
  </si>
  <si>
    <t>Under 18 Salsa Teams</t>
  </si>
  <si>
    <t>Under 18 Semi-Pro Couples</t>
  </si>
  <si>
    <t>Zouk Couples</t>
  </si>
  <si>
    <t xml:space="preserve">Semi Pro Solo Male </t>
  </si>
  <si>
    <t>tech</t>
  </si>
  <si>
    <t>Time</t>
  </si>
  <si>
    <t>appear</t>
  </si>
  <si>
    <t>origin</t>
  </si>
  <si>
    <t>Sonia</t>
  </si>
  <si>
    <t>emily woodfield</t>
  </si>
  <si>
    <t>jeremy sim</t>
  </si>
  <si>
    <t>difficult</t>
  </si>
  <si>
    <t>penalty</t>
  </si>
  <si>
    <t>total</t>
  </si>
  <si>
    <t>avg</t>
  </si>
  <si>
    <t>juan</t>
  </si>
  <si>
    <t>sharon</t>
  </si>
  <si>
    <t>alex</t>
  </si>
  <si>
    <t>vivio</t>
  </si>
  <si>
    <t>greydis</t>
  </si>
  <si>
    <t>Solos</t>
  </si>
  <si>
    <t>Salsa Couples Male Instructor</t>
  </si>
  <si>
    <t>Salsa Couples Female Instructor</t>
  </si>
  <si>
    <t>divAmatuerChor</t>
  </si>
  <si>
    <t>divSemiProChor</t>
  </si>
  <si>
    <t>divProfChor</t>
  </si>
  <si>
    <t>divAmatuerImprov</t>
  </si>
  <si>
    <t>divSemiProImprov</t>
  </si>
  <si>
    <t>divProfImProv</t>
  </si>
  <si>
    <t>Youth</t>
  </si>
  <si>
    <t>Open</t>
  </si>
  <si>
    <t>Professional</t>
  </si>
  <si>
    <t>Adult Freestyle</t>
  </si>
  <si>
    <t>Amateur</t>
  </si>
  <si>
    <t>Amatuer Choreography</t>
  </si>
  <si>
    <t>Professional Choreography</t>
  </si>
  <si>
    <t>Amateur Improvisation</t>
  </si>
  <si>
    <t>Professional Improvisation</t>
  </si>
  <si>
    <t>100% choreography</t>
  </si>
  <si>
    <t>categories = new HashSet&lt;Category&gt;();</t>
  </si>
  <si>
    <t>Latin Couples</t>
  </si>
  <si>
    <t>Salsa Duets</t>
  </si>
  <si>
    <t>DivisionSelect</t>
  </si>
  <si>
    <t>CategorySelect</t>
  </si>
  <si>
    <t>Salsa Solo Mixed</t>
  </si>
  <si>
    <t>Latin Solo Mixed</t>
  </si>
  <si>
    <t>Salsa Duets Mixed</t>
  </si>
  <si>
    <t>Salsa Solo</t>
  </si>
  <si>
    <t>Latin Shines Duets</t>
  </si>
  <si>
    <t>Salsa Shines Teams Ladies</t>
  </si>
  <si>
    <t>Semi_Pro</t>
  </si>
  <si>
    <t>Semi_Pro Choreography</t>
  </si>
  <si>
    <t>Semi_Pro Improvisation</t>
  </si>
  <si>
    <t>Pro_Am</t>
  </si>
  <si>
    <t>Latin Solo</t>
  </si>
  <si>
    <t>Duets</t>
  </si>
  <si>
    <t>Salsa Solo Teams</t>
  </si>
  <si>
    <t>Latin Solo Teams</t>
  </si>
  <si>
    <t>Latin Duets Mixed</t>
  </si>
  <si>
    <r>
      <t>Appearance, Connection &amp; Synchronicity (20%) </t>
    </r>
    <r>
      <rPr>
        <b/>
        <sz val="10"/>
        <color rgb="FF9900FF"/>
        <rFont val="Arial"/>
        <family val="2"/>
      </rPr>
      <t>1,2,3</t>
    </r>
  </si>
  <si>
    <r>
      <t>Timing &amp; Musicality (20%) </t>
    </r>
    <r>
      <rPr>
        <b/>
        <sz val="10"/>
        <color rgb="FF9900FF"/>
        <rFont val="Arial"/>
        <family val="2"/>
      </rPr>
      <t>1,4,5</t>
    </r>
  </si>
  <si>
    <r>
      <t>Difficulty (20%) </t>
    </r>
    <r>
      <rPr>
        <b/>
        <sz val="10"/>
        <color rgb="FF9900FF"/>
        <rFont val="Arial"/>
        <family val="2"/>
      </rPr>
      <t>2,4,5</t>
    </r>
  </si>
  <si>
    <r>
      <t>Technique (20%)</t>
    </r>
    <r>
      <rPr>
        <b/>
        <sz val="10"/>
        <color rgb="FF9900FF"/>
        <rFont val="Arial"/>
        <family val="2"/>
      </rPr>
      <t> 1, 3, 5</t>
    </r>
  </si>
  <si>
    <r>
      <t>Originality of Choreography /  Freestyle vocabulary (20%) </t>
    </r>
    <r>
      <rPr>
        <b/>
        <sz val="10"/>
        <color rgb="FF9900FF"/>
        <rFont val="Arial"/>
        <family val="2"/>
      </rPr>
      <t>2,3,4</t>
    </r>
  </si>
  <si>
    <t>Head judge will only do deductions  &gt; 6</t>
  </si>
  <si>
    <t>head</t>
  </si>
  <si>
    <t>time</t>
  </si>
  <si>
    <t>original</t>
  </si>
  <si>
    <t>divNovice</t>
  </si>
  <si>
    <t>Novice</t>
  </si>
  <si>
    <t>Salsa Solo male</t>
  </si>
  <si>
    <t>divMasters</t>
  </si>
  <si>
    <t>Masters</t>
  </si>
  <si>
    <t>Name</t>
  </si>
  <si>
    <t>Grading</t>
  </si>
  <si>
    <t>Salsa Couples Mixed</t>
  </si>
  <si>
    <t>Latin Couples Mixed</t>
  </si>
  <si>
    <t>Showcase Teams</t>
  </si>
  <si>
    <t>Latin Teams Mixed</t>
  </si>
  <si>
    <t>Nicola_Taylor_Viva_Dance</t>
  </si>
  <si>
    <t>Camila_Sarlo_RYDE</t>
  </si>
  <si>
    <t>Farya_Zaman_RYDE</t>
  </si>
  <si>
    <t>Arturo_Flores_Salsa_Cartel_Australia</t>
  </si>
  <si>
    <t>Yohei_Mikawa_Self_Represented</t>
  </si>
  <si>
    <t>Ben_Hammond_Self_Represented</t>
  </si>
  <si>
    <t>Debbie_Chou_Salsa_Con_Coco</t>
  </si>
  <si>
    <t>Kirsten_Scott_Salsa_Cartel_Australia</t>
  </si>
  <si>
    <t>Coco_Salsa_Con_Coco</t>
  </si>
  <si>
    <t>Lee_Aiono_Salsa_In_The_Suburbs</t>
  </si>
  <si>
    <t>Arturo_Flores_and_Kirsten_Scott_Salsa_Cartel_Australia</t>
  </si>
  <si>
    <t>Sofia_Radak_Ryde</t>
  </si>
  <si>
    <t>Yan_Zhou_and_Ricardo_Grecco_RYDE</t>
  </si>
  <si>
    <t>Diane_Field_and_Jorge_Sequeiros_Salsa_Con_Coco</t>
  </si>
  <si>
    <t>Krissi_Gould_and_Phil_Gentry_Self_Represented</t>
  </si>
  <si>
    <t>Kathrin_Robertson_and_Lee_Aiono_Salsa_In_The_Suburbs</t>
  </si>
  <si>
    <t>Yohei_Mikawa_Pro_and_Farya_Zaman_Am_Self_Represented</t>
  </si>
  <si>
    <t>Liz_Parons_Sweet_Azucar</t>
  </si>
  <si>
    <t>Coco_Pro_Helga_Moran_Am_Salsa_Con_Coco</t>
  </si>
  <si>
    <t>Sebasitan_Vera_Pro_and_Lucile_Payraudeau_Am_To_Register_Sara_and_Sebastian_Dance_Co</t>
  </si>
  <si>
    <t>Alberto_Juarez_Pro_Anoushka_Jain_Am_Passion_Of_Expression</t>
  </si>
  <si>
    <t>Sebastian_Vera_Pro_and_Nicola_Taylor_Am_Sara_and_Sebastian_Dance_Co</t>
  </si>
  <si>
    <t>Aracelly_Roxana_Silva_Cortes_and_Rodrigo_Hernan_Plaza_Rosales_Self_Represented</t>
  </si>
  <si>
    <t>Coco_and_Debbie_Chou_Salsa_Con_Coco_</t>
  </si>
  <si>
    <t>Hannah_Gin_and_Michelle_Knowler_Self_represented</t>
  </si>
  <si>
    <t>Mia_Yatiswara_and_Robyn_Lindsay_Ritmos_Candentes</t>
  </si>
  <si>
    <t>Natalie_Fester_Masha_Johansson</t>
  </si>
  <si>
    <t>Sara_Djuric_Pro_and_Jonny_Watson_Am_Sara_and_Sebasitan_Dance_Co</t>
  </si>
  <si>
    <t>Michael_Cui_RYDE_</t>
  </si>
  <si>
    <t>Nola_Chong_and_Wayne_Lapwood_Salsa_Con_Coco_</t>
  </si>
  <si>
    <t>Yan_Zhou_RYDE</t>
  </si>
  <si>
    <t>Salsa Latina        </t>
  </si>
  <si>
    <t>Passion Of Expression Salsa Team</t>
  </si>
  <si>
    <t>Salsa Con Coco – Pelota</t>
  </si>
  <si>
    <t>RYDE Salsa Team</t>
  </si>
  <si>
    <t>Salsa Latina Mambo Team</t>
  </si>
  <si>
    <t>Passion Of Expressions Bachata Team</t>
  </si>
  <si>
    <t>RYDE Salsa Shines Team</t>
  </si>
  <si>
    <t>Ritmos Candentes – Cha</t>
  </si>
  <si>
    <t>Las Isadoras – Salsa Latina</t>
  </si>
  <si>
    <t>Ritmos Candentes - Bachata</t>
  </si>
  <si>
    <t>Sweet Azucar! Showcase Team</t>
  </si>
  <si>
    <t>Salsa Latina Bachata/Kizomba Team</t>
  </si>
  <si>
    <t>Salsa Con Coco – Mixed Latin Team</t>
  </si>
  <si>
    <t>Salsa_Latina</t>
  </si>
  <si>
    <t>Passion_Of_Expression_Salsa_Team</t>
  </si>
  <si>
    <t>Salsa_Con_Coco_Pelota</t>
  </si>
  <si>
    <t>RYDE_Salsa_Team</t>
  </si>
  <si>
    <t>Salsa_Latina_Mambo_Team</t>
  </si>
  <si>
    <t>Passion_Of_Expressions_Bachata_Team</t>
  </si>
  <si>
    <t>RYDE_Salsa_Shines_Team</t>
  </si>
  <si>
    <t>Ritmos_Candentes_Cha</t>
  </si>
  <si>
    <t>Las_Isadoras_Salsa_Latina</t>
  </si>
  <si>
    <t>Ritmos_Candentes_Bachata</t>
  </si>
  <si>
    <t>Sweet_Azucar_Showcase_Team</t>
  </si>
  <si>
    <t>Salsa_Con_Coco_Mixed_Latin_Team</t>
  </si>
  <si>
    <t>Salsa_Latina_Bachata_Kizomba_Team</t>
  </si>
  <si>
    <t>Novice Salsa Solo Female</t>
  </si>
  <si>
    <t>Amateur Salsa Solo male</t>
  </si>
  <si>
    <t>Amateur Salsa Solo Female</t>
  </si>
  <si>
    <t>Professional Salsa Solo Female</t>
  </si>
  <si>
    <t>Professional Salsa Solo Male</t>
  </si>
  <si>
    <t>Open Latin Solo Mixed</t>
  </si>
  <si>
    <t>Masters Salsa Solo Mixed</t>
  </si>
  <si>
    <t>Open Salsa Shines Duets</t>
  </si>
  <si>
    <t>Open Latin Shines Duets</t>
  </si>
  <si>
    <t>Amateur Salsa Couples</t>
  </si>
  <si>
    <t>Professional Salsa Couples</t>
  </si>
  <si>
    <t>Amateur Bachata Couples</t>
  </si>
  <si>
    <t>Professional Bachata Couples</t>
  </si>
  <si>
    <t>Pro_Am Salsa Couples Mixed</t>
  </si>
  <si>
    <t>Pro_Am Latin Couples Mixed</t>
  </si>
  <si>
    <t>Masters Salsa Couples</t>
  </si>
  <si>
    <t>Masters Latin Couples</t>
  </si>
  <si>
    <t>Diane_Field_and_CoCo_Salsa_Con_Coco</t>
  </si>
  <si>
    <t>Amateur Salsa Teams</t>
  </si>
  <si>
    <t>Open Salsa Teams</t>
  </si>
  <si>
    <t>Open Latin Teams</t>
  </si>
  <si>
    <t>Open Salsa Shines Teams</t>
  </si>
  <si>
    <t>Open Latin Shines Teams</t>
  </si>
  <si>
    <t>Open Showcase Teams</t>
  </si>
  <si>
    <t>Masters Latin Teams Mixed</t>
  </si>
  <si>
    <t>Penalty</t>
  </si>
  <si>
    <t>J0</t>
  </si>
  <si>
    <t>J1</t>
  </si>
  <si>
    <t>Appear</t>
  </si>
  <si>
    <t>Technique</t>
  </si>
  <si>
    <t>Timing</t>
  </si>
  <si>
    <t>J2</t>
  </si>
  <si>
    <t>Appearance</t>
  </si>
  <si>
    <t>Difficulty</t>
  </si>
  <si>
    <t>J3</t>
  </si>
  <si>
    <t>Originality</t>
  </si>
  <si>
    <t>J4</t>
  </si>
  <si>
    <t>J5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</si>
</sst>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E3D3E"/>
      <name val="Arial"/>
      <family val="2"/>
    </font>
    <font>
      <b/>
      <sz val="10"/>
      <color rgb="FF9900FF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8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rgb="FF222222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20" fontId="0" fillId="0" borderId="0" xfId="0" applyNumberFormat="1"/>
    <xf numFmtId="0" fontId="3" fillId="2" borderId="0" xfId="0" applyFont="1" applyFill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0" borderId="1" xfId="0" applyFont="1" applyBorder="1"/>
    <xf numFmtId="0" fontId="0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E19" sqref="E19"/>
    </sheetView>
  </sheetViews>
  <sheetFormatPr defaultRowHeight="14.4" x14ac:dyDescent="0.3"/>
  <cols>
    <col min="1" max="1" width="18" bestFit="1" customWidth="1"/>
    <col min="2" max="2" width="25.33203125" bestFit="1" customWidth="1"/>
    <col min="3" max="3" width="2.44140625" customWidth="1"/>
    <col min="4" max="4" width="55.5546875" customWidth="1"/>
    <col min="5" max="5" width="40.5546875" bestFit="1" customWidth="1"/>
  </cols>
  <sheetData>
    <row r="1" spans="1:7" x14ac:dyDescent="0.3">
      <c r="A1" t="s">
        <v>11</v>
      </c>
      <c r="B1" t="s">
        <v>66</v>
      </c>
      <c r="C1" t="s">
        <v>73</v>
      </c>
      <c r="D1" t="str">
        <f t="shared" ref="D1:D15" si="0">"var " &amp; A1 &amp; " = new Division(){Caption = """ &amp; B1 &amp; """,Id = Guid.NewGuid(),CreatedOn = DateTimeOffset.Now,Categories = categories};"</f>
        <v>var divAdultFree = new Division(){Caption = "Adult Freestyle",Id = Guid.NewGuid(),CreatedOn = DateTimeOffset.Now,Categories = categories};</v>
      </c>
      <c r="E1" t="str">
        <f t="shared" ref="E1:E15" si="1">"context.Divisions.AddOrUpdate(" &amp; A1 &amp; ");"</f>
        <v>context.Divisions.AddOrUpdate(divAdultFree);</v>
      </c>
      <c r="F1" t="s">
        <v>0</v>
      </c>
      <c r="G1" t="str">
        <f>C1&amp;D1</f>
        <v>categories = new HashSet&lt;Category&gt;();var divAdultFree = new Division(){Caption = "Adult Freestyle",Id = Guid.NewGuid(),CreatedOn = DateTimeOffset.Now,Categories = categories};</v>
      </c>
    </row>
    <row r="2" spans="1:7" x14ac:dyDescent="0.3">
      <c r="A2" t="s">
        <v>7</v>
      </c>
      <c r="B2" t="s">
        <v>67</v>
      </c>
      <c r="C2" t="s">
        <v>73</v>
      </c>
      <c r="D2" t="str">
        <f t="shared" si="0"/>
        <v>var divAmatuer = new Division(){Caption = "Amateur",Id = Guid.NewGuid(),CreatedOn = DateTimeOffset.Now,Categories = categories};</v>
      </c>
      <c r="E2" t="str">
        <f t="shared" si="1"/>
        <v>context.Divisions.AddOrUpdate(divAmatuer);</v>
      </c>
      <c r="F2" t="s">
        <v>0</v>
      </c>
      <c r="G2" t="str">
        <f t="shared" ref="G2:G15" si="2">C2&amp;D2</f>
        <v>categories = new HashSet&lt;Category&gt;();var divAmatuer = new Division(){Caption = "Amateur",Id = Guid.NewGuid(),CreatedOn = DateTimeOffset.Now,Categories = categories};</v>
      </c>
    </row>
    <row r="3" spans="1:7" x14ac:dyDescent="0.3">
      <c r="A3" t="s">
        <v>57</v>
      </c>
      <c r="B3" t="s">
        <v>68</v>
      </c>
      <c r="C3" t="s">
        <v>73</v>
      </c>
      <c r="D3" t="str">
        <f t="shared" si="0"/>
        <v>var divAmatuerChor = new Division(){Caption = "Amatuer Choreography",Id = Guid.NewGuid(),CreatedOn = DateTimeOffset.Now,Categories = categories};</v>
      </c>
      <c r="E3" t="str">
        <f t="shared" si="1"/>
        <v>context.Divisions.AddOrUpdate(divAmatuerChor);</v>
      </c>
      <c r="F3" t="s">
        <v>0</v>
      </c>
      <c r="G3" t="str">
        <f t="shared" si="2"/>
        <v>categories = new HashSet&lt;Category&gt;();var divAmatuerChor = new Division(){Caption = "Amatuer Choreography",Id = Guid.NewGuid(),CreatedOn = DateTimeOffset.Now,Categories = categories};</v>
      </c>
    </row>
    <row r="4" spans="1:7" x14ac:dyDescent="0.3">
      <c r="A4" t="s">
        <v>60</v>
      </c>
      <c r="B4" t="s">
        <v>70</v>
      </c>
      <c r="C4" t="s">
        <v>73</v>
      </c>
      <c r="D4" t="str">
        <f t="shared" si="0"/>
        <v>var divAmatuerImprov = new Division(){Caption = "Amateur Improvisation",Id = Guid.NewGuid(),CreatedOn = DateTimeOffset.Now,Categories = categories};</v>
      </c>
      <c r="E4" t="str">
        <f t="shared" si="1"/>
        <v>context.Divisions.AddOrUpdate(divAmatuerImprov);</v>
      </c>
      <c r="F4" t="s">
        <v>0</v>
      </c>
      <c r="G4" t="str">
        <f t="shared" si="2"/>
        <v>categories = new HashSet&lt;Category&gt;();var divAmatuerImprov = new Division(){Caption = "Amateur Improvisation",Id = Guid.NewGuid(),CreatedOn = DateTimeOffset.Now,Categories = categories};</v>
      </c>
    </row>
    <row r="5" spans="1:7" x14ac:dyDescent="0.3">
      <c r="A5" t="s">
        <v>13</v>
      </c>
      <c r="B5" t="s">
        <v>64</v>
      </c>
      <c r="C5" t="s">
        <v>73</v>
      </c>
      <c r="D5" t="str">
        <f t="shared" si="0"/>
        <v>var divOpen = new Division(){Caption = "Open",Id = Guid.NewGuid(),CreatedOn = DateTimeOffset.Now,Categories = categories};</v>
      </c>
      <c r="E5" t="str">
        <f t="shared" si="1"/>
        <v>context.Divisions.AddOrUpdate(divOpen);</v>
      </c>
      <c r="F5" t="s">
        <v>0</v>
      </c>
      <c r="G5" t="str">
        <f t="shared" si="2"/>
        <v>categories = new HashSet&lt;Category&gt;();var divOpen = new Division(){Caption = "Open",Id = Guid.NewGuid(),CreatedOn = DateTimeOffset.Now,Categories = categories};</v>
      </c>
    </row>
    <row r="6" spans="1:7" x14ac:dyDescent="0.3">
      <c r="A6" t="s">
        <v>14</v>
      </c>
      <c r="B6" t="s">
        <v>87</v>
      </c>
      <c r="C6" t="s">
        <v>73</v>
      </c>
      <c r="D6" t="str">
        <f t="shared" si="0"/>
        <v>var divProAm = new Division(){Caption = "Pro_Am",Id = Guid.NewGuid(),CreatedOn = DateTimeOffset.Now,Categories = categories};</v>
      </c>
      <c r="E6" t="str">
        <f t="shared" si="1"/>
        <v>context.Divisions.AddOrUpdate(divProAm);</v>
      </c>
      <c r="F6" t="s">
        <v>0</v>
      </c>
      <c r="G6" t="str">
        <f t="shared" si="2"/>
        <v>categories = new HashSet&lt;Category&gt;();var divProAm = new Division(){Caption = "Pro_Am",Id = Guid.NewGuid(),CreatedOn = DateTimeOffset.Now,Categories = categories};</v>
      </c>
    </row>
    <row r="7" spans="1:7" x14ac:dyDescent="0.3">
      <c r="A7" t="s">
        <v>12</v>
      </c>
      <c r="B7" t="s">
        <v>65</v>
      </c>
      <c r="C7" t="s">
        <v>73</v>
      </c>
      <c r="D7" t="str">
        <f t="shared" si="0"/>
        <v>var divProf = new Division(){Caption = "Professional",Id = Guid.NewGuid(),CreatedOn = DateTimeOffset.Now,Categories = categories};</v>
      </c>
      <c r="E7" t="str">
        <f t="shared" si="1"/>
        <v>context.Divisions.AddOrUpdate(divProf);</v>
      </c>
      <c r="F7" t="s">
        <v>0</v>
      </c>
      <c r="G7" t="str">
        <f t="shared" si="2"/>
        <v>categories = new HashSet&lt;Category&gt;();var divProf = new Division(){Caption = "Professional",Id = Guid.NewGuid(),CreatedOn = DateTimeOffset.Now,Categories = categories};</v>
      </c>
    </row>
    <row r="8" spans="1:7" x14ac:dyDescent="0.3">
      <c r="A8" t="s">
        <v>59</v>
      </c>
      <c r="B8" t="s">
        <v>69</v>
      </c>
      <c r="C8" t="s">
        <v>73</v>
      </c>
      <c r="D8" t="str">
        <f t="shared" si="0"/>
        <v>var divProfChor = new Division(){Caption = "Professional Choreography",Id = Guid.NewGuid(),CreatedOn = DateTimeOffset.Now,Categories = categories};</v>
      </c>
      <c r="E8" t="str">
        <f t="shared" si="1"/>
        <v>context.Divisions.AddOrUpdate(divProfChor);</v>
      </c>
      <c r="F8" t="s">
        <v>0</v>
      </c>
      <c r="G8" t="str">
        <f t="shared" si="2"/>
        <v>categories = new HashSet&lt;Category&gt;();var divProfChor = new Division(){Caption = "Professional Choreography",Id = Guid.NewGuid(),CreatedOn = DateTimeOffset.Now,Categories = categories};</v>
      </c>
    </row>
    <row r="9" spans="1:7" x14ac:dyDescent="0.3">
      <c r="A9" t="s">
        <v>62</v>
      </c>
      <c r="B9" t="s">
        <v>71</v>
      </c>
      <c r="C9" t="s">
        <v>73</v>
      </c>
      <c r="D9" t="str">
        <f t="shared" si="0"/>
        <v>var divProfImProv = new Division(){Caption = "Professional Improvisation",Id = Guid.NewGuid(),CreatedOn = DateTimeOffset.Now,Categories = categories};</v>
      </c>
      <c r="E9" t="str">
        <f t="shared" si="1"/>
        <v>context.Divisions.AddOrUpdate(divProfImProv);</v>
      </c>
      <c r="F9" t="s">
        <v>0</v>
      </c>
      <c r="G9" t="str">
        <f t="shared" si="2"/>
        <v>categories = new HashSet&lt;Category&gt;();var divProfImProv = new Division(){Caption = "Professional Improvisation",Id = Guid.NewGuid(),CreatedOn = DateTimeOffset.Now,Categories = categories};</v>
      </c>
    </row>
    <row r="10" spans="1:7" x14ac:dyDescent="0.3">
      <c r="A10" t="s">
        <v>6</v>
      </c>
      <c r="B10" t="s">
        <v>84</v>
      </c>
      <c r="C10" t="s">
        <v>73</v>
      </c>
      <c r="D10" t="str">
        <f t="shared" si="0"/>
        <v>var divSemiPro = new Division(){Caption = "Semi_Pro",Id = Guid.NewGuid(),CreatedOn = DateTimeOffset.Now,Categories = categories};</v>
      </c>
      <c r="E10" t="str">
        <f t="shared" si="1"/>
        <v>context.Divisions.AddOrUpdate(divSemiPro);</v>
      </c>
      <c r="F10" t="s">
        <v>0</v>
      </c>
      <c r="G10" t="str">
        <f t="shared" si="2"/>
        <v>categories = new HashSet&lt;Category&gt;();var divSemiPro = new Division(){Caption = "Semi_Pro",Id = Guid.NewGuid(),CreatedOn = DateTimeOffset.Now,Categories = categories};</v>
      </c>
    </row>
    <row r="11" spans="1:7" x14ac:dyDescent="0.3">
      <c r="A11" t="s">
        <v>58</v>
      </c>
      <c r="B11" t="s">
        <v>85</v>
      </c>
      <c r="C11" t="s">
        <v>73</v>
      </c>
      <c r="D11" t="str">
        <f t="shared" si="0"/>
        <v>var divSemiProChor = new Division(){Caption = "Semi_Pro Choreography",Id = Guid.NewGuid(),CreatedOn = DateTimeOffset.Now,Categories = categories};</v>
      </c>
      <c r="E11" t="str">
        <f t="shared" si="1"/>
        <v>context.Divisions.AddOrUpdate(divSemiProChor);</v>
      </c>
      <c r="F11" t="s">
        <v>0</v>
      </c>
      <c r="G11" t="str">
        <f t="shared" si="2"/>
        <v>categories = new HashSet&lt;Category&gt;();var divSemiProChor = new Division(){Caption = "Semi_Pro Choreography",Id = Guid.NewGuid(),CreatedOn = DateTimeOffset.Now,Categories = categories};</v>
      </c>
    </row>
    <row r="12" spans="1:7" x14ac:dyDescent="0.3">
      <c r="A12" t="s">
        <v>61</v>
      </c>
      <c r="B12" t="s">
        <v>86</v>
      </c>
      <c r="C12" t="s">
        <v>73</v>
      </c>
      <c r="D12" t="str">
        <f t="shared" si="0"/>
        <v>var divSemiProImprov = new Division(){Caption = "Semi_Pro Improvisation",Id = Guid.NewGuid(),CreatedOn = DateTimeOffset.Now,Categories = categories};</v>
      </c>
      <c r="E12" t="str">
        <f t="shared" si="1"/>
        <v>context.Divisions.AddOrUpdate(divSemiProImprov);</v>
      </c>
      <c r="F12" t="s">
        <v>0</v>
      </c>
      <c r="G12" t="str">
        <f t="shared" si="2"/>
        <v>categories = new HashSet&lt;Category&gt;();var divSemiProImprov = new Division(){Caption = "Semi_Pro Improvisation",Id = Guid.NewGuid(),CreatedOn = DateTimeOffset.Now,Categories = categories};</v>
      </c>
    </row>
    <row r="13" spans="1:7" x14ac:dyDescent="0.3">
      <c r="A13" t="s">
        <v>102</v>
      </c>
      <c r="B13" t="s">
        <v>103</v>
      </c>
      <c r="C13" t="s">
        <v>73</v>
      </c>
      <c r="D13" t="str">
        <f t="shared" ref="D13:D14" si="3">"var " &amp; A13 &amp; " = new Division(){Caption = """ &amp; B13 &amp; """,Id = Guid.NewGuid(),CreatedOn = DateTimeOffset.Now,Categories = categories};"</f>
        <v>var divNovice = new Division(){Caption = "Novice",Id = Guid.NewGuid(),CreatedOn = DateTimeOffset.Now,Categories = categories};</v>
      </c>
      <c r="E13" t="str">
        <f t="shared" ref="E13:E14" si="4">"context.Divisions.AddOrUpdate(" &amp; A13 &amp; ");"</f>
        <v>context.Divisions.AddOrUpdate(divNovice);</v>
      </c>
      <c r="F13" t="s">
        <v>0</v>
      </c>
      <c r="G13" t="str">
        <f t="shared" ref="G13:G14" si="5">C13&amp;D13</f>
        <v>categories = new HashSet&lt;Category&gt;();var divNovice = new Division(){Caption = "Novice",Id = Guid.NewGuid(),CreatedOn = DateTimeOffset.Now,Categories = categories};</v>
      </c>
    </row>
    <row r="14" spans="1:7" x14ac:dyDescent="0.3">
      <c r="A14" t="s">
        <v>105</v>
      </c>
      <c r="B14" t="s">
        <v>106</v>
      </c>
      <c r="C14" t="s">
        <v>73</v>
      </c>
      <c r="D14" t="str">
        <f t="shared" si="3"/>
        <v>var divMasters = new Division(){Caption = "Masters",Id = Guid.NewGuid(),CreatedOn = DateTimeOffset.Now,Categories = categories};</v>
      </c>
      <c r="E14" t="str">
        <f t="shared" si="4"/>
        <v>context.Divisions.AddOrUpdate(divMasters);</v>
      </c>
      <c r="F14" t="s">
        <v>0</v>
      </c>
      <c r="G14" t="str">
        <f t="shared" si="5"/>
        <v>categories = new HashSet&lt;Category&gt;();var divMasters = new Division(){Caption = "Masters",Id = Guid.NewGuid(),CreatedOn = DateTimeOffset.Now,Categories = categories};</v>
      </c>
    </row>
    <row r="15" spans="1:7" x14ac:dyDescent="0.3">
      <c r="A15" t="s">
        <v>10</v>
      </c>
      <c r="B15" t="s">
        <v>63</v>
      </c>
      <c r="C15" t="s">
        <v>73</v>
      </c>
      <c r="D15" t="str">
        <f t="shared" si="0"/>
        <v>var divYouth = new Division(){Caption = "Youth",Id = Guid.NewGuid(),CreatedOn = DateTimeOffset.Now,Categories = categories};</v>
      </c>
      <c r="E15" t="str">
        <f t="shared" si="1"/>
        <v>context.Divisions.AddOrUpdate(divYouth);</v>
      </c>
      <c r="F15" t="s">
        <v>0</v>
      </c>
      <c r="G15" t="str">
        <f t="shared" si="2"/>
        <v>categories = new HashSet&lt;Category&gt;();var divYouth = new Division(){Caption = "Youth",Id = Guid.NewGuid(),CreatedOn = DateTimeOffset.Now,Categories = categories};</v>
      </c>
    </row>
  </sheetData>
  <sortState ref="A1:G13">
    <sortCondition ref="A1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3"/>
  <sheetViews>
    <sheetView workbookViewId="0">
      <selection activeCell="D1" sqref="D1"/>
    </sheetView>
  </sheetViews>
  <sheetFormatPr defaultRowHeight="14.4" x14ac:dyDescent="0.3"/>
  <cols>
    <col min="1" max="1" width="29.6640625" bestFit="1" customWidth="1"/>
    <col min="2" max="2" width="53.33203125" bestFit="1" customWidth="1"/>
  </cols>
  <sheetData>
    <row r="1" spans="1:4" x14ac:dyDescent="0.3">
      <c r="A1" t="s">
        <v>15</v>
      </c>
      <c r="B1" t="s">
        <v>72</v>
      </c>
      <c r="D1" t="str">
        <f>"Categories.Add(new Category{Caption = """ &amp; A1 &amp; """,Requirements = """ &amp; B1 &amp; """,Id = Guid.NewGuid(),CreatedOn = DateTimeOffset.Now});"</f>
        <v>Categories.Add(new Category{Caption = "Advanced",Requirements = "100% choreography",Id = Guid.NewGuid(),CreatedOn = DateTimeOffset.Now});</v>
      </c>
    </row>
    <row r="2" spans="1:4" x14ac:dyDescent="0.3">
      <c r="A2" t="s">
        <v>16</v>
      </c>
      <c r="B2" t="s">
        <v>72</v>
      </c>
      <c r="D2" t="str">
        <f t="shared" ref="D2:D43" si="0">"Categories.Add(new Category{Caption = """ &amp; A2 &amp; """,Requirements = """ &amp; B2 &amp; """,Id = Guid.NewGuid(),CreatedOn = DateTimeOffset.Now});"</f>
        <v>Categories.Add(new Category{Caption = "Bachata Couples",Requirements = "100% choreography",Id = Guid.NewGuid(),CreatedOn = DateTimeOffset.Now});</v>
      </c>
    </row>
    <row r="3" spans="1:4" x14ac:dyDescent="0.3">
      <c r="A3" t="s">
        <v>17</v>
      </c>
      <c r="B3" t="s">
        <v>72</v>
      </c>
      <c r="D3" t="str">
        <f t="shared" si="0"/>
        <v>Categories.Add(new Category{Caption = "Beginner",Requirements = "100% choreography",Id = Guid.NewGuid(),CreatedOn = DateTimeOffset.Now});</v>
      </c>
    </row>
    <row r="4" spans="1:4" x14ac:dyDescent="0.3">
      <c r="A4" t="s">
        <v>89</v>
      </c>
      <c r="B4" t="s">
        <v>72</v>
      </c>
      <c r="D4" t="str">
        <f t="shared" si="0"/>
        <v>Categories.Add(new Category{Caption = "Duets",Requirements = "100% choreography",Id = Guid.NewGuid(),CreatedOn = DateTimeOffset.Now});</v>
      </c>
    </row>
    <row r="5" spans="1:4" x14ac:dyDescent="0.3">
      <c r="A5" t="s">
        <v>18</v>
      </c>
      <c r="B5" t="s">
        <v>72</v>
      </c>
      <c r="D5" t="str">
        <f t="shared" si="0"/>
        <v>Categories.Add(new Category{Caption = "Intermediate",Requirements = "100% choreography",Id = Guid.NewGuid(),CreatedOn = DateTimeOffset.Now});</v>
      </c>
    </row>
    <row r="6" spans="1:4" x14ac:dyDescent="0.3">
      <c r="A6" t="s">
        <v>74</v>
      </c>
      <c r="B6" t="s">
        <v>72</v>
      </c>
      <c r="D6" t="str">
        <f t="shared" ref="D6" si="1">"Categories.Add(new Category{Caption = """ &amp; A6 &amp; """,Requirements = """ &amp; B6 &amp; """,Id = Guid.NewGuid(),CreatedOn = DateTimeOffset.Now});"</f>
        <v>Categories.Add(new Category{Caption = "Latin Couples",Requirements = "100% choreography",Id = Guid.NewGuid(),CreatedOn = DateTimeOffset.Now});</v>
      </c>
    </row>
    <row r="7" spans="1:4" x14ac:dyDescent="0.3">
      <c r="A7" t="s">
        <v>110</v>
      </c>
      <c r="B7" t="s">
        <v>72</v>
      </c>
      <c r="D7" t="str">
        <f t="shared" si="0"/>
        <v>Categories.Add(new Category{Caption = "Latin Couples Mixed",Requirements = "100% choreography",Id = Guid.NewGuid(),CreatedOn = DateTimeOffset.Now});</v>
      </c>
    </row>
    <row r="8" spans="1:4" x14ac:dyDescent="0.3">
      <c r="A8" t="s">
        <v>92</v>
      </c>
      <c r="B8" t="s">
        <v>72</v>
      </c>
      <c r="D8" t="str">
        <f t="shared" si="0"/>
        <v>Categories.Add(new Category{Caption = "Latin Duets Mixed",Requirements = "100% choreography",Id = Guid.NewGuid(),CreatedOn = DateTimeOffset.Now});</v>
      </c>
    </row>
    <row r="9" spans="1:4" x14ac:dyDescent="0.3">
      <c r="A9" t="s">
        <v>82</v>
      </c>
      <c r="B9" t="s">
        <v>72</v>
      </c>
      <c r="D9" t="str">
        <f t="shared" si="0"/>
        <v>Categories.Add(new Category{Caption = "Latin Shines Duets",Requirements = "100% choreography",Id = Guid.NewGuid(),CreatedOn = DateTimeOffset.Now});</v>
      </c>
    </row>
    <row r="10" spans="1:4" x14ac:dyDescent="0.3">
      <c r="A10" t="s">
        <v>19</v>
      </c>
      <c r="B10" t="s">
        <v>72</v>
      </c>
      <c r="D10" t="str">
        <f t="shared" si="0"/>
        <v>Categories.Add(new Category{Caption = "Latin Shines Teams",Requirements = "100% choreography",Id = Guid.NewGuid(),CreatedOn = DateTimeOffset.Now});</v>
      </c>
    </row>
    <row r="11" spans="1:4" x14ac:dyDescent="0.3">
      <c r="A11" t="s">
        <v>88</v>
      </c>
      <c r="B11" t="s">
        <v>72</v>
      </c>
      <c r="D11" t="str">
        <f t="shared" si="0"/>
        <v>Categories.Add(new Category{Caption = "Latin Solo",Requirements = "100% choreography",Id = Guid.NewGuid(),CreatedOn = DateTimeOffset.Now});</v>
      </c>
    </row>
    <row r="12" spans="1:4" x14ac:dyDescent="0.3">
      <c r="A12" t="s">
        <v>79</v>
      </c>
      <c r="B12" t="s">
        <v>72</v>
      </c>
      <c r="D12" t="str">
        <f t="shared" si="0"/>
        <v>Categories.Add(new Category{Caption = "Latin Solo Mixed",Requirements = "100% choreography",Id = Guid.NewGuid(),CreatedOn = DateTimeOffset.Now});</v>
      </c>
    </row>
    <row r="13" spans="1:4" x14ac:dyDescent="0.3">
      <c r="A13" t="s">
        <v>91</v>
      </c>
      <c r="B13" t="s">
        <v>72</v>
      </c>
      <c r="D13" t="str">
        <f t="shared" si="0"/>
        <v>Categories.Add(new Category{Caption = "Latin Solo Teams",Requirements = "100% choreography",Id = Guid.NewGuid(),CreatedOn = DateTimeOffset.Now});</v>
      </c>
    </row>
    <row r="14" spans="1:4" x14ac:dyDescent="0.3">
      <c r="A14" t="s">
        <v>20</v>
      </c>
      <c r="B14" t="s">
        <v>72</v>
      </c>
      <c r="D14" t="str">
        <f t="shared" ref="D14" si="2">"Categories.Add(new Category{Caption = """ &amp; A14 &amp; """,Requirements = """ &amp; B14 &amp; """,Id = Guid.NewGuid(),CreatedOn = DateTimeOffset.Now});"</f>
        <v>Categories.Add(new Category{Caption = "Latin Teams",Requirements = "100% choreography",Id = Guid.NewGuid(),CreatedOn = DateTimeOffset.Now});</v>
      </c>
    </row>
    <row r="15" spans="1:4" x14ac:dyDescent="0.3">
      <c r="A15" t="s">
        <v>112</v>
      </c>
      <c r="B15" t="s">
        <v>72</v>
      </c>
      <c r="D15" t="str">
        <f t="shared" si="0"/>
        <v>Categories.Add(new Category{Caption = "Latin Teams Mixed",Requirements = "100% choreography",Id = Guid.NewGuid(),CreatedOn = DateTimeOffset.Now});</v>
      </c>
    </row>
    <row r="16" spans="1:4" x14ac:dyDescent="0.3">
      <c r="A16" t="s">
        <v>8</v>
      </c>
      <c r="B16" t="s">
        <v>72</v>
      </c>
      <c r="D16" t="str">
        <f t="shared" ref="D16" si="3">"Categories.Add(new Category{Caption = """ &amp; A16 &amp; """,Requirements = """ &amp; B16 &amp; """,Id = Guid.NewGuid(),CreatedOn = DateTimeOffset.Now});"</f>
        <v>Categories.Add(new Category{Caption = "Salsa Couples",Requirements = "100% choreography",Id = Guid.NewGuid(),CreatedOn = DateTimeOffset.Now});</v>
      </c>
    </row>
    <row r="17" spans="1:4" x14ac:dyDescent="0.3">
      <c r="A17" t="s">
        <v>109</v>
      </c>
      <c r="B17" t="s">
        <v>72</v>
      </c>
      <c r="D17" t="str">
        <f t="shared" si="0"/>
        <v>Categories.Add(new Category{Caption = "Salsa Couples Mixed",Requirements = "100% choreography",Id = Guid.NewGuid(),CreatedOn = DateTimeOffset.Now});</v>
      </c>
    </row>
    <row r="18" spans="1:4" x14ac:dyDescent="0.3">
      <c r="A18" t="s">
        <v>56</v>
      </c>
      <c r="B18" t="s">
        <v>72</v>
      </c>
      <c r="D18" t="str">
        <f t="shared" si="0"/>
        <v>Categories.Add(new Category{Caption = "Salsa Couples Female Instructor",Requirements = "100% choreography",Id = Guid.NewGuid(),CreatedOn = DateTimeOffset.Now});</v>
      </c>
    </row>
    <row r="19" spans="1:4" x14ac:dyDescent="0.3">
      <c r="A19" t="s">
        <v>21</v>
      </c>
      <c r="B19" t="s">
        <v>72</v>
      </c>
      <c r="D19" t="str">
        <f t="shared" si="0"/>
        <v>Categories.Add(new Category{Caption = "Salsa Couples Follower Pro",Requirements = "100% choreography",Id = Guid.NewGuid(),CreatedOn = DateTimeOffset.Now});</v>
      </c>
    </row>
    <row r="20" spans="1:4" x14ac:dyDescent="0.3">
      <c r="A20" t="s">
        <v>22</v>
      </c>
      <c r="B20" t="s">
        <v>72</v>
      </c>
      <c r="D20" t="str">
        <f t="shared" si="0"/>
        <v>Categories.Add(new Category{Caption = "Salsa Couples Lead Pro",Requirements = "100% choreography",Id = Guid.NewGuid(),CreatedOn = DateTimeOffset.Now});</v>
      </c>
    </row>
    <row r="21" spans="1:4" x14ac:dyDescent="0.3">
      <c r="A21" t="s">
        <v>55</v>
      </c>
      <c r="B21" t="s">
        <v>72</v>
      </c>
      <c r="D21" t="str">
        <f t="shared" si="0"/>
        <v>Categories.Add(new Category{Caption = "Salsa Couples Male Instructor",Requirements = "100% choreography",Id = Guid.NewGuid(),CreatedOn = DateTimeOffset.Now});</v>
      </c>
    </row>
    <row r="22" spans="1:4" x14ac:dyDescent="0.3">
      <c r="A22" t="s">
        <v>75</v>
      </c>
      <c r="B22" t="s">
        <v>72</v>
      </c>
      <c r="D22" t="str">
        <f t="shared" si="0"/>
        <v>Categories.Add(new Category{Caption = "Salsa Duets",Requirements = "100% choreography",Id = Guid.NewGuid(),CreatedOn = DateTimeOffset.Now});</v>
      </c>
    </row>
    <row r="23" spans="1:4" x14ac:dyDescent="0.3">
      <c r="A23" t="s">
        <v>80</v>
      </c>
      <c r="B23" t="s">
        <v>72</v>
      </c>
      <c r="D23" t="str">
        <f t="shared" si="0"/>
        <v>Categories.Add(new Category{Caption = "Salsa Duets Mixed",Requirements = "100% choreography",Id = Guid.NewGuid(),CreatedOn = DateTimeOffset.Now});</v>
      </c>
    </row>
    <row r="24" spans="1:4" x14ac:dyDescent="0.3">
      <c r="A24" t="s">
        <v>23</v>
      </c>
      <c r="B24" t="s">
        <v>72</v>
      </c>
      <c r="D24" t="str">
        <f t="shared" si="0"/>
        <v>Categories.Add(new Category{Caption = "Salsa Shines Duets",Requirements = "100% choreography",Id = Guid.NewGuid(),CreatedOn = DateTimeOffset.Now});</v>
      </c>
    </row>
    <row r="25" spans="1:4" x14ac:dyDescent="0.3">
      <c r="A25" t="s">
        <v>24</v>
      </c>
      <c r="B25" t="s">
        <v>72</v>
      </c>
      <c r="D25" t="str">
        <f t="shared" si="0"/>
        <v>Categories.Add(new Category{Caption = "Salsa Shines Teams",Requirements = "100% choreography",Id = Guid.NewGuid(),CreatedOn = DateTimeOffset.Now});</v>
      </c>
    </row>
    <row r="26" spans="1:4" x14ac:dyDescent="0.3">
      <c r="A26" t="s">
        <v>83</v>
      </c>
      <c r="B26" t="s">
        <v>72</v>
      </c>
      <c r="D26" t="str">
        <f t="shared" si="0"/>
        <v>Categories.Add(new Category{Caption = "Salsa Shines Teams Ladies",Requirements = "100% choreography",Id = Guid.NewGuid(),CreatedOn = DateTimeOffset.Now});</v>
      </c>
    </row>
    <row r="27" spans="1:4" x14ac:dyDescent="0.3">
      <c r="A27" t="s">
        <v>81</v>
      </c>
      <c r="B27" t="s">
        <v>72</v>
      </c>
      <c r="D27" t="str">
        <f t="shared" si="0"/>
        <v>Categories.Add(new Category{Caption = "Salsa Solo",Requirements = "100% choreography",Id = Guid.NewGuid(),CreatedOn = DateTimeOffset.Now});</v>
      </c>
    </row>
    <row r="28" spans="1:4" x14ac:dyDescent="0.3">
      <c r="A28" t="s">
        <v>25</v>
      </c>
      <c r="B28" t="s">
        <v>72</v>
      </c>
      <c r="D28" t="str">
        <f t="shared" si="0"/>
        <v>Categories.Add(new Category{Caption = "Salsa Solo Female",Requirements = "100% choreography",Id = Guid.NewGuid(),CreatedOn = DateTimeOffset.Now});</v>
      </c>
    </row>
    <row r="29" spans="1:4" x14ac:dyDescent="0.3">
      <c r="A29" t="s">
        <v>26</v>
      </c>
      <c r="B29" t="s">
        <v>72</v>
      </c>
      <c r="D29" t="str">
        <f t="shared" si="0"/>
        <v>Categories.Add(new Category{Caption = "Salsa Solo Male",Requirements = "100% choreography",Id = Guid.NewGuid(),CreatedOn = DateTimeOffset.Now});</v>
      </c>
    </row>
    <row r="30" spans="1:4" x14ac:dyDescent="0.3">
      <c r="A30" t="s">
        <v>78</v>
      </c>
      <c r="B30" t="s">
        <v>72</v>
      </c>
      <c r="D30" t="str">
        <f t="shared" si="0"/>
        <v>Categories.Add(new Category{Caption = "Salsa Solo Mixed",Requirements = "100% choreography",Id = Guid.NewGuid(),CreatedOn = DateTimeOffset.Now});</v>
      </c>
    </row>
    <row r="31" spans="1:4" x14ac:dyDescent="0.3">
      <c r="A31" t="s">
        <v>90</v>
      </c>
      <c r="B31" t="s">
        <v>72</v>
      </c>
      <c r="D31" t="str">
        <f t="shared" si="0"/>
        <v>Categories.Add(new Category{Caption = "Salsa Solo Teams",Requirements = "100% choreography",Id = Guid.NewGuid(),CreatedOn = DateTimeOffset.Now});</v>
      </c>
    </row>
    <row r="32" spans="1:4" x14ac:dyDescent="0.3">
      <c r="A32" t="s">
        <v>27</v>
      </c>
      <c r="B32" t="s">
        <v>72</v>
      </c>
      <c r="D32" t="str">
        <f t="shared" si="0"/>
        <v>Categories.Add(new Category{Caption = "Salsa Teams",Requirements = "100% choreography",Id = Guid.NewGuid(),CreatedOn = DateTimeOffset.Now});</v>
      </c>
    </row>
    <row r="33" spans="1:4" x14ac:dyDescent="0.3">
      <c r="A33" t="s">
        <v>54</v>
      </c>
      <c r="B33" t="s">
        <v>72</v>
      </c>
      <c r="D33" t="str">
        <f t="shared" si="0"/>
        <v>Categories.Add(new Category{Caption = "Solos",Requirements = "100% choreography",Id = Guid.NewGuid(),CreatedOn = DateTimeOffset.Now});</v>
      </c>
    </row>
    <row r="34" spans="1:4" x14ac:dyDescent="0.3">
      <c r="A34" t="s">
        <v>28</v>
      </c>
      <c r="B34" t="s">
        <v>72</v>
      </c>
      <c r="D34" t="str">
        <f t="shared" si="0"/>
        <v>Categories.Add(new Category{Caption = "Under 18 Amateur Couples",Requirements = "100% choreography",Id = Guid.NewGuid(),CreatedOn = DateTimeOffset.Now});</v>
      </c>
    </row>
    <row r="35" spans="1:4" x14ac:dyDescent="0.3">
      <c r="A35" t="s">
        <v>29</v>
      </c>
      <c r="B35" t="s">
        <v>72</v>
      </c>
      <c r="D35" t="str">
        <f t="shared" si="0"/>
        <v>Categories.Add(new Category{Caption = "Under 18 Latin Solo Team",Requirements = "100% choreography",Id = Guid.NewGuid(),CreatedOn = DateTimeOffset.Now});</v>
      </c>
    </row>
    <row r="36" spans="1:4" x14ac:dyDescent="0.3">
      <c r="A36" t="s">
        <v>30</v>
      </c>
      <c r="B36" t="s">
        <v>72</v>
      </c>
      <c r="D36" t="str">
        <f t="shared" si="0"/>
        <v>Categories.Add(new Category{Caption = "Under 18 Latin Teams",Requirements = "100% choreography",Id = Guid.NewGuid(),CreatedOn = DateTimeOffset.Now});</v>
      </c>
    </row>
    <row r="37" spans="1:4" x14ac:dyDescent="0.3">
      <c r="A37" t="s">
        <v>31</v>
      </c>
      <c r="B37" t="s">
        <v>72</v>
      </c>
      <c r="D37" t="str">
        <f t="shared" si="0"/>
        <v>Categories.Add(new Category{Caption = "Under 18 Mixed Latin Solo",Requirements = "100% choreography",Id = Guid.NewGuid(),CreatedOn = DateTimeOffset.Now});</v>
      </c>
    </row>
    <row r="38" spans="1:4" x14ac:dyDescent="0.3">
      <c r="A38" t="s">
        <v>32</v>
      </c>
      <c r="B38" t="s">
        <v>72</v>
      </c>
      <c r="D38" t="str">
        <f t="shared" si="0"/>
        <v>Categories.Add(new Category{Caption = "Under 18 Mixed Salsa Solo",Requirements = "100% choreography",Id = Guid.NewGuid(),CreatedOn = DateTimeOffset.Now});</v>
      </c>
    </row>
    <row r="39" spans="1:4" x14ac:dyDescent="0.3">
      <c r="A39" t="s">
        <v>33</v>
      </c>
      <c r="B39" t="s">
        <v>72</v>
      </c>
      <c r="D39" t="str">
        <f t="shared" si="0"/>
        <v>Categories.Add(new Category{Caption = "Under 18 Salsa Solo Team",Requirements = "100% choreography",Id = Guid.NewGuid(),CreatedOn = DateTimeOffset.Now});</v>
      </c>
    </row>
    <row r="40" spans="1:4" x14ac:dyDescent="0.3">
      <c r="A40" t="s">
        <v>34</v>
      </c>
      <c r="B40" t="s">
        <v>72</v>
      </c>
      <c r="D40" t="str">
        <f t="shared" si="0"/>
        <v>Categories.Add(new Category{Caption = "Under 18 Salsa Teams",Requirements = "100% choreography",Id = Guid.NewGuid(),CreatedOn = DateTimeOffset.Now});</v>
      </c>
    </row>
    <row r="41" spans="1:4" x14ac:dyDescent="0.3">
      <c r="A41" t="s">
        <v>35</v>
      </c>
      <c r="B41" t="s">
        <v>72</v>
      </c>
      <c r="D41" t="str">
        <f t="shared" si="0"/>
        <v>Categories.Add(new Category{Caption = "Under 18 Semi-Pro Couples",Requirements = "100% choreography",Id = Guid.NewGuid(),CreatedOn = DateTimeOffset.Now});</v>
      </c>
    </row>
    <row r="42" spans="1:4" x14ac:dyDescent="0.3">
      <c r="A42" t="s">
        <v>111</v>
      </c>
      <c r="B42" t="s">
        <v>72</v>
      </c>
      <c r="D42" t="str">
        <f t="shared" si="0"/>
        <v>Categories.Add(new Category{Caption = "Showcase Teams",Requirements = "100% choreography",Id = Guid.NewGuid(),CreatedOn = DateTimeOffset.Now});</v>
      </c>
    </row>
    <row r="43" spans="1:4" x14ac:dyDescent="0.3">
      <c r="A43" t="s">
        <v>36</v>
      </c>
      <c r="B43" t="s">
        <v>72</v>
      </c>
      <c r="D43" t="str">
        <f t="shared" si="0"/>
        <v>Categories.Add(new Category{Caption = "Zouk Couples",Requirements = "100% choreography",Id = Guid.NewGuid(),CreatedOn = DateTimeOffset.Now});</v>
      </c>
    </row>
  </sheetData>
  <sortState ref="A1:B39">
    <sortCondition ref="A1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8"/>
  <sheetViews>
    <sheetView topLeftCell="A22" workbookViewId="0">
      <selection activeCell="A48" sqref="A48"/>
    </sheetView>
  </sheetViews>
  <sheetFormatPr defaultRowHeight="14.4" x14ac:dyDescent="0.3"/>
  <cols>
    <col min="1" max="1" width="63.44140625" customWidth="1"/>
    <col min="2" max="2" width="0.77734375" customWidth="1"/>
    <col min="3" max="3" width="44.33203125" customWidth="1"/>
    <col min="5" max="5" width="28.5546875" bestFit="1" customWidth="1"/>
  </cols>
  <sheetData>
    <row r="1" spans="1:6" x14ac:dyDescent="0.3">
      <c r="D1" t="s">
        <v>1</v>
      </c>
      <c r="E1" t="s">
        <v>3</v>
      </c>
    </row>
    <row r="2" spans="1:6" x14ac:dyDescent="0.3">
      <c r="A2" s="9" t="s">
        <v>133</v>
      </c>
      <c r="B2" t="str">
        <f>C2 &amp; "," &amp;B1</f>
        <v>comptrAlberto_Juarez_Pro_Anoushka_Jain_Am_Passion_Of_Expression,</v>
      </c>
      <c r="C2" t="str">
        <f t="shared" ref="C2:C32" si="0">"comptr" &amp;SUBSTITUTE(SUBSTITUTE(A2," ",""),"_","_")</f>
        <v>comptrAlberto_Juarez_Pro_Anoushka_Jain_Am_Passion_Of_Expression</v>
      </c>
      <c r="D2">
        <v>1</v>
      </c>
      <c r="E2" t="s">
        <v>2</v>
      </c>
      <c r="F2" t="str">
        <f>"var " &amp; C2 &amp;" = new Competitor{Id = Guid.NewGuid(),EntityName = """&amp; A2 &amp;""",EntityNumber = " &amp; D2 &amp; ",Email =""" &amp; SUBSTITUTE(A2," ","") &amp; """,CompetitorType = " &amp; E2 &amp; ",Organisation = orgVivaDance,MobileNumber = ""021"",FirstName = """",LastName = """"};"</f>
        <v>var comptrAlberto_Juarez_Pro_Anoushka_Jain_Am_Passion_Of_Expression = new Competitor{Id = Guid.NewGuid(),EntityName = "Alberto_Juarez_Pro_Anoushka_Jain_Am_Passion_Of_Expression",EntityNumber = 1,Email ="Alberto_Juarez_Pro_Anoushka_Jain_Am_Passion_Of_Expression",CompetitorType = CompetitorType.CouplesTeam,Organisation = orgVivaDance,MobileNumber = "021",FirstName = "",LastName = ""};</v>
      </c>
    </row>
    <row r="3" spans="1:6" ht="28.8" x14ac:dyDescent="0.3">
      <c r="A3" s="10" t="s">
        <v>135</v>
      </c>
      <c r="B3" t="str">
        <f>C3 &amp; "," &amp;B1</f>
        <v>comptrAracelly_Roxana_Silva_Cortes_and_Rodrigo_Hernan_Plaza_Rosales_Self_Represented,</v>
      </c>
      <c r="C3" t="str">
        <f t="shared" si="0"/>
        <v>comptrAracelly_Roxana_Silva_Cortes_and_Rodrigo_Hernan_Plaza_Rosales_Self_Represented</v>
      </c>
      <c r="D3">
        <v>2</v>
      </c>
      <c r="E3" t="s">
        <v>2</v>
      </c>
      <c r="F3" t="str">
        <f t="shared" ref="F3:F32" si="1">"var " &amp; C3 &amp;" = new Competitor{Id = Guid.NewGuid(),EntityName = """&amp; A3 &amp;""",EntityNumber = " &amp; D3 &amp; ",Email =""" &amp; SUBSTITUTE(A3," ","") &amp; """,CompetitorType = " &amp; E3 &amp; ",Organisation = orgVivaDance,MobileNumber = ""021"",FirstName = """",LastName = """"};"</f>
        <v>var comptrAracelly_Roxana_Silva_Cortes_and_Rodrigo_Hernan_Plaza_Rosales_Self_Represented = new Competitor{Id = Guid.NewGuid(),EntityName = "Aracelly_Roxana_Silva_Cortes_and_Rodrigo_Hernan_Plaza_Rosales_Self_Represented",EntityNumber = 2,Email ="Aracelly_Roxana_Silva_Cortes_and_Rodrigo_Hernan_Plaza_Rosales_Self_Represented",CompetitorType = CompetitorType.CouplesTeam,Organisation = orgVivaDance,MobileNumber = "021",FirstName = "",LastName = ""};</v>
      </c>
    </row>
    <row r="4" spans="1:6" x14ac:dyDescent="0.3">
      <c r="A4" s="9" t="s">
        <v>123</v>
      </c>
      <c r="B4" t="str">
        <f>C4 &amp; "," &amp;B1</f>
        <v>comptrArturo_Flores_and_Kirsten_Scott_Salsa_Cartel_Australia,</v>
      </c>
      <c r="C4" t="str">
        <f t="shared" si="0"/>
        <v>comptrArturo_Flores_and_Kirsten_Scott_Salsa_Cartel_Australia</v>
      </c>
      <c r="D4">
        <v>3</v>
      </c>
      <c r="E4" t="s">
        <v>2</v>
      </c>
      <c r="F4" t="str">
        <f t="shared" si="1"/>
        <v>var comptrArturo_Flores_and_Kirsten_Scott_Salsa_Cartel_Australia = new Competitor{Id = Guid.NewGuid(),EntityName = "Arturo_Flores_and_Kirsten_Scott_Salsa_Cartel_Australia",EntityNumber = 3,Email ="Arturo_Flores_and_Kirsten_Scott_Salsa_Cartel_Australia",CompetitorType = CompetitorType.CouplesTeam,Organisation = orgVivaDance,MobileNumber = "021",FirstName = "",LastName = ""};</v>
      </c>
    </row>
    <row r="5" spans="1:6" x14ac:dyDescent="0.3">
      <c r="A5" s="9" t="s">
        <v>116</v>
      </c>
      <c r="B5" t="str">
        <f>C5 &amp; "," &amp;B2</f>
        <v>comptrArturo_Flores_Salsa_Cartel_Australia,comptrAlberto_Juarez_Pro_Anoushka_Jain_Am_Passion_Of_Expression,</v>
      </c>
      <c r="C5" t="str">
        <f t="shared" si="0"/>
        <v>comptrArturo_Flores_Salsa_Cartel_Australia</v>
      </c>
      <c r="D5">
        <v>4</v>
      </c>
      <c r="E5" t="s">
        <v>2</v>
      </c>
      <c r="F5" t="str">
        <f t="shared" si="1"/>
        <v>var comptrArturo_Flores_Salsa_Cartel_Australia = new Competitor{Id = Guid.NewGuid(),EntityName = "Arturo_Flores_Salsa_Cartel_Australia",EntityNumber = 4,Email ="Arturo_Flores_Salsa_Cartel_Australia",CompetitorType = CompetitorType.CouplesTeam,Organisation = orgVivaDance,MobileNumber = "021",FirstName = "",LastName = ""};</v>
      </c>
    </row>
    <row r="6" spans="1:6" x14ac:dyDescent="0.3">
      <c r="A6" s="9" t="s">
        <v>118</v>
      </c>
      <c r="B6" t="str">
        <f>C6 &amp; "," &amp;B2</f>
        <v>comptrBen_Hammond_Self_Represented,comptrAlberto_Juarez_Pro_Anoushka_Jain_Am_Passion_Of_Expression,</v>
      </c>
      <c r="C6" t="str">
        <f t="shared" si="0"/>
        <v>comptrBen_Hammond_Self_Represented</v>
      </c>
      <c r="D6">
        <v>5</v>
      </c>
      <c r="E6" t="s">
        <v>2</v>
      </c>
      <c r="F6" t="str">
        <f t="shared" si="1"/>
        <v>var comptrBen_Hammond_Self_Represented = new Competitor{Id = Guid.NewGuid(),EntityName = "Ben_Hammond_Self_Represented",EntityNumber = 5,Email ="Ben_Hammond_Self_Represented",CompetitorType = CompetitorType.CouplesTeam,Organisation = orgVivaDance,MobileNumber = "021",FirstName = "",LastName = ""};</v>
      </c>
    </row>
    <row r="7" spans="1:6" x14ac:dyDescent="0.3">
      <c r="A7" s="9" t="s">
        <v>114</v>
      </c>
      <c r="B7" t="str">
        <f t="shared" ref="B7:B25" si="2">C7 &amp; "," &amp;B6</f>
        <v>comptrCamila_Sarlo_RYDE,comptrBen_Hammond_Self_Represented,comptrAlberto_Juarez_Pro_Anoushka_Jain_Am_Passion_Of_Expression,</v>
      </c>
      <c r="C7" t="str">
        <f t="shared" si="0"/>
        <v>comptrCamila_Sarlo_RYDE</v>
      </c>
      <c r="D7">
        <v>6</v>
      </c>
      <c r="E7" t="s">
        <v>2</v>
      </c>
      <c r="F7" t="str">
        <f t="shared" si="1"/>
        <v>var comptrCamila_Sarlo_RYDE = new Competitor{Id = Guid.NewGuid(),EntityName = "Camila_Sarlo_RYDE",EntityNumber = 6,Email ="Camila_Sarlo_RYDE",CompetitorType = CompetitorType.CouplesTeam,Organisation = orgVivaDance,MobileNumber = "021",FirstName = "",LastName = ""};</v>
      </c>
    </row>
    <row r="8" spans="1:6" x14ac:dyDescent="0.3">
      <c r="A8" s="9" t="s">
        <v>136</v>
      </c>
      <c r="B8" t="str">
        <f t="shared" si="2"/>
        <v>comptrCoco_and_Debbie_Chou_Salsa_Con_Coco_,comptrCamila_Sarlo_RYDE,comptrBen_Hammond_Self_Represented,comptrAlberto_Juarez_Pro_Anoushka_Jain_Am_Passion_Of_Expression,</v>
      </c>
      <c r="C8" t="str">
        <f t="shared" si="0"/>
        <v>comptrCoco_and_Debbie_Chou_Salsa_Con_Coco_</v>
      </c>
      <c r="D8">
        <v>7</v>
      </c>
      <c r="E8" t="s">
        <v>4</v>
      </c>
      <c r="F8" t="str">
        <f t="shared" si="1"/>
        <v>var comptrCoco_and_Debbie_Chou_Salsa_Con_Coco_ = new Competitor{Id = Guid.NewGuid(),EntityName = "Coco_and_Debbie_Chou_Salsa_Con_Coco_",EntityNumber = 7,Email ="Coco_and_Debbie_Chou_Salsa_Con_Coco_",CompetitorType = CompetitorType.Soloist,Organisation = orgVivaDance,MobileNumber = "021",FirstName = "",LastName = ""};</v>
      </c>
    </row>
    <row r="9" spans="1:6" x14ac:dyDescent="0.3">
      <c r="A9" s="9" t="s">
        <v>131</v>
      </c>
      <c r="B9" t="str">
        <f t="shared" si="2"/>
        <v>comptrCoco_Pro_Helga_Moran_Am_Salsa_Con_Coco,comptrCoco_and_Debbie_Chou_Salsa_Con_Coco_,comptrCamila_Sarlo_RYDE,comptrBen_Hammond_Self_Represented,comptrAlberto_Juarez_Pro_Anoushka_Jain_Am_Passion_Of_Expression,</v>
      </c>
      <c r="C9" t="str">
        <f t="shared" si="0"/>
        <v>comptrCoco_Pro_Helga_Moran_Am_Salsa_Con_Coco</v>
      </c>
      <c r="D9">
        <v>8</v>
      </c>
      <c r="E9" t="s">
        <v>4</v>
      </c>
      <c r="F9" t="str">
        <f t="shared" si="1"/>
        <v>var comptrCoco_Pro_Helga_Moran_Am_Salsa_Con_Coco = new Competitor{Id = Guid.NewGuid(),EntityName = "Coco_Pro_Helga_Moran_Am_Salsa_Con_Coco",EntityNumber = 8,Email ="Coco_Pro_Helga_Moran_Am_Salsa_Con_Coco",CompetitorType = CompetitorType.Soloist,Organisation = orgVivaDance,MobileNumber = "021",FirstName = "",LastName = ""};</v>
      </c>
    </row>
    <row r="10" spans="1:6" x14ac:dyDescent="0.3">
      <c r="A10" s="9" t="s">
        <v>121</v>
      </c>
      <c r="B10" t="str">
        <f t="shared" si="2"/>
        <v>comptrCoco_Salsa_Con_Coco,comptrCoco_Pro_Helga_Moran_Am_Salsa_Con_Coco,comptrCoco_and_Debbie_Chou_Salsa_Con_Coco_,comptrCamila_Sarlo_RYDE,comptrBen_Hammond_Self_Represented,comptrAlberto_Juarez_Pro_Anoushka_Jain_Am_Passion_Of_Expression,</v>
      </c>
      <c r="C10" t="str">
        <f t="shared" si="0"/>
        <v>comptrCoco_Salsa_Con_Coco</v>
      </c>
      <c r="D10">
        <v>9</v>
      </c>
      <c r="E10" t="s">
        <v>4</v>
      </c>
      <c r="F10" t="str">
        <f t="shared" si="1"/>
        <v>var comptrCoco_Salsa_Con_Coco = new Competitor{Id = Guid.NewGuid(),EntityName = "Coco_Salsa_Con_Coco",EntityNumber = 9,Email ="Coco_Salsa_Con_Coco",CompetitorType = CompetitorType.Soloist,Organisation = orgVivaDance,MobileNumber = "021",FirstName = "",LastName = ""};</v>
      </c>
    </row>
    <row r="11" spans="1:6" x14ac:dyDescent="0.3">
      <c r="A11" s="9" t="s">
        <v>119</v>
      </c>
      <c r="B11" t="str">
        <f t="shared" si="2"/>
        <v>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1" t="str">
        <f t="shared" si="0"/>
        <v>comptrDebbie_Chou_Salsa_Con_Coco</v>
      </c>
      <c r="D11">
        <v>10</v>
      </c>
      <c r="E11" t="s">
        <v>4</v>
      </c>
      <c r="F11" t="str">
        <f t="shared" si="1"/>
        <v>var comptrDebbie_Chou_Salsa_Con_Coco = new Competitor{Id = Guid.NewGuid(),EntityName = "Debbie_Chou_Salsa_Con_Coco",EntityNumber = 10,Email ="Debbie_Chou_Salsa_Con_Coco",CompetitorType = CompetitorType.Soloist,Organisation = orgVivaDance,MobileNumber = "021",FirstName = "",LastName = ""};</v>
      </c>
    </row>
    <row r="12" spans="1:6" x14ac:dyDescent="0.3">
      <c r="A12" s="9" t="s">
        <v>126</v>
      </c>
      <c r="B12" t="str">
        <f t="shared" si="2"/>
        <v>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2" t="str">
        <f t="shared" si="0"/>
        <v>comptrDiane_Field_and_Jorge_Sequeiros_Salsa_Con_Coco</v>
      </c>
      <c r="D12">
        <v>11</v>
      </c>
      <c r="E12" t="s">
        <v>4</v>
      </c>
      <c r="F12" t="str">
        <f t="shared" si="1"/>
        <v>var comptrDiane_Field_and_Jorge_Sequeiros_Salsa_Con_Coco = new Competitor{Id = Guid.NewGuid(),EntityName = "Diane_Field_and_Jorge_Sequeiros_Salsa_Con_Coco",EntityNumber = 11,Email ="Diane_Field_and_Jorge_Sequeiros_Salsa_Con_Coco",CompetitorType = CompetitorType.Soloist,Organisation = orgVivaDance,MobileNumber = "021",FirstName = "",LastName = ""};</v>
      </c>
    </row>
    <row r="13" spans="1:6" x14ac:dyDescent="0.3">
      <c r="A13" s="9" t="s">
        <v>115</v>
      </c>
      <c r="B13" t="str">
        <f t="shared" si="2"/>
        <v>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3" t="str">
        <f t="shared" si="0"/>
        <v>comptrFarya_Zaman_RYDE</v>
      </c>
      <c r="D13">
        <v>12</v>
      </c>
      <c r="E13" t="s">
        <v>4</v>
      </c>
      <c r="F13" t="str">
        <f t="shared" si="1"/>
        <v>var comptrFarya_Zaman_RYDE = new Competitor{Id = Guid.NewGuid(),EntityName = "Farya_Zaman_RYDE",EntityNumber = 12,Email ="Farya_Zaman_RYDE",CompetitorType = CompetitorType.Soloist,Organisation = orgVivaDance,MobileNumber = "021",FirstName = "",LastName = ""};</v>
      </c>
    </row>
    <row r="14" spans="1:6" x14ac:dyDescent="0.3">
      <c r="A14" s="9" t="s">
        <v>137</v>
      </c>
      <c r="B14" t="str">
        <f t="shared" si="2"/>
        <v>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4" t="str">
        <f t="shared" si="0"/>
        <v>comptrHannah_Gin_and_Michelle_Knowler_Self_represented</v>
      </c>
      <c r="D14">
        <v>13</v>
      </c>
      <c r="E14" t="s">
        <v>4</v>
      </c>
      <c r="F14" t="str">
        <f t="shared" si="1"/>
        <v>var comptrHannah_Gin_and_Michelle_Knowler_Self_represented = new Competitor{Id = Guid.NewGuid(),EntityName = "Hannah_Gin_and_Michelle_Knowler_Self_represented",EntityNumber = 13,Email ="Hannah_Gin_and_Michelle_Knowler_Self_represented",CompetitorType = CompetitorType.Soloist,Organisation = orgVivaDance,MobileNumber = "021",FirstName = "",LastName = ""};</v>
      </c>
    </row>
    <row r="15" spans="1:6" x14ac:dyDescent="0.3">
      <c r="A15" s="9" t="s">
        <v>128</v>
      </c>
      <c r="B15" t="str">
        <f t="shared" si="2"/>
        <v>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5" t="str">
        <f t="shared" si="0"/>
        <v>comptrKathrin_Robertson_and_Lee_Aiono_Salsa_In_The_Suburbs</v>
      </c>
      <c r="D15">
        <v>14</v>
      </c>
      <c r="E15" t="s">
        <v>4</v>
      </c>
      <c r="F15" t="str">
        <f t="shared" si="1"/>
        <v>var comptrKathrin_Robertson_and_Lee_Aiono_Salsa_In_The_Suburbs = new Competitor{Id = Guid.NewGuid(),EntityName = "Kathrin_Robertson_and_Lee_Aiono_Salsa_In_The_Suburbs",EntityNumber = 14,Email ="Kathrin_Robertson_and_Lee_Aiono_Salsa_In_The_Suburbs",CompetitorType = CompetitorType.Soloist,Organisation = orgVivaDance,MobileNumber = "021",FirstName = "",LastName = ""};</v>
      </c>
    </row>
    <row r="16" spans="1:6" x14ac:dyDescent="0.3">
      <c r="A16" s="9" t="s">
        <v>120</v>
      </c>
      <c r="B16" t="str">
        <f t="shared" si="2"/>
        <v>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6" t="str">
        <f t="shared" si="0"/>
        <v>comptrKirsten_Scott_Salsa_Cartel_Australia</v>
      </c>
      <c r="D16">
        <v>15</v>
      </c>
      <c r="E16" t="s">
        <v>4</v>
      </c>
      <c r="F16" t="str">
        <f t="shared" si="1"/>
        <v>var comptrKirsten_Scott_Salsa_Cartel_Australia = new Competitor{Id = Guid.NewGuid(),EntityName = "Kirsten_Scott_Salsa_Cartel_Australia",EntityNumber = 15,Email ="Kirsten_Scott_Salsa_Cartel_Australia",CompetitorType = CompetitorType.Soloist,Organisation = orgVivaDance,MobileNumber = "021",FirstName = "",LastName = ""};</v>
      </c>
    </row>
    <row r="17" spans="1:6" x14ac:dyDescent="0.3">
      <c r="A17" s="9" t="s">
        <v>127</v>
      </c>
      <c r="B17" t="str">
        <f t="shared" si="2"/>
        <v>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7" t="str">
        <f t="shared" si="0"/>
        <v>comptrKrissi_Gould_and_Phil_Gentry_Self_Represented</v>
      </c>
      <c r="D17">
        <v>16</v>
      </c>
      <c r="E17" t="s">
        <v>4</v>
      </c>
      <c r="F17" t="str">
        <f t="shared" si="1"/>
        <v>var comptrKrissi_Gould_and_Phil_Gentry_Self_Represented = new Competitor{Id = Guid.NewGuid(),EntityName = "Krissi_Gould_and_Phil_Gentry_Self_Represented",EntityNumber = 16,Email ="Krissi_Gould_and_Phil_Gentry_Self_Represented",CompetitorType = CompetitorType.Soloist,Organisation = orgVivaDance,MobileNumber = "021",FirstName = "",LastName = ""};</v>
      </c>
    </row>
    <row r="18" spans="1:6" x14ac:dyDescent="0.3">
      <c r="A18" s="9" t="s">
        <v>122</v>
      </c>
      <c r="B18" t="str">
        <f t="shared" si="2"/>
        <v>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8" t="str">
        <f t="shared" si="0"/>
        <v>comptrLee_Aiono_Salsa_In_The_Suburbs</v>
      </c>
      <c r="D18">
        <v>17</v>
      </c>
      <c r="E18" t="s">
        <v>4</v>
      </c>
      <c r="F18" t="str">
        <f t="shared" si="1"/>
        <v>var comptrLee_Aiono_Salsa_In_The_Suburbs = new Competitor{Id = Guid.NewGuid(),EntityName = "Lee_Aiono_Salsa_In_The_Suburbs",EntityNumber = 17,Email ="Lee_Aiono_Salsa_In_The_Suburbs",CompetitorType = CompetitorType.Soloist,Organisation = orgVivaDance,MobileNumber = "021",FirstName = "",LastName = ""};</v>
      </c>
    </row>
    <row r="19" spans="1:6" x14ac:dyDescent="0.3">
      <c r="A19" s="9" t="s">
        <v>130</v>
      </c>
      <c r="B19" t="str">
        <f t="shared" si="2"/>
        <v>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9" t="str">
        <f t="shared" si="0"/>
        <v>comptrLiz_Parons_Sweet_Azucar</v>
      </c>
      <c r="D19">
        <v>18</v>
      </c>
      <c r="E19" t="s">
        <v>2</v>
      </c>
      <c r="F19" t="str">
        <f t="shared" si="1"/>
        <v>var comptrLiz_Parons_Sweet_Azucar = new Competitor{Id = Guid.NewGuid(),EntityName = "Liz_Parons_Sweet_Azucar",EntityNumber = 18,Email ="Liz_Parons_Sweet_Azucar",CompetitorType = CompetitorType.CouplesTeam,Organisation = orgVivaDance,MobileNumber = "021",FirstName = "",LastName = ""};</v>
      </c>
    </row>
    <row r="20" spans="1:6" x14ac:dyDescent="0.3">
      <c r="A20" s="9" t="s">
        <v>138</v>
      </c>
      <c r="B20" t="str">
        <f t="shared" si="2"/>
        <v>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0" t="str">
        <f t="shared" si="0"/>
        <v>comptrMia_Yatiswara_and_Robyn_Lindsay_Ritmos_Candentes</v>
      </c>
      <c r="D20">
        <v>19</v>
      </c>
      <c r="E20" t="s">
        <v>2</v>
      </c>
      <c r="F20" t="str">
        <f t="shared" si="1"/>
        <v>var comptrMia_Yatiswara_and_Robyn_Lindsay_Ritmos_Candentes = new Competitor{Id = Guid.NewGuid(),EntityName = "Mia_Yatiswara_and_Robyn_Lindsay_Ritmos_Candentes",EntityNumber = 19,Email ="Mia_Yatiswara_and_Robyn_Lindsay_Ritmos_Candentes",CompetitorType = CompetitorType.CouplesTeam,Organisation = orgVivaDance,MobileNumber = "021",FirstName = "",LastName = ""};</v>
      </c>
    </row>
    <row r="21" spans="1:6" ht="17.399999999999999" customHeight="1" x14ac:dyDescent="0.3">
      <c r="A21" s="9" t="s">
        <v>141</v>
      </c>
      <c r="B21" t="str">
        <f t="shared" si="2"/>
        <v>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1" t="str">
        <f t="shared" si="0"/>
        <v>comptrMichael_Cui_RYDE_</v>
      </c>
      <c r="D21">
        <v>20</v>
      </c>
      <c r="E21" t="s">
        <v>2</v>
      </c>
      <c r="F21" t="str">
        <f t="shared" si="1"/>
        <v>var comptrMichael_Cui_RYDE_ = new Competitor{Id = Guid.NewGuid(),EntityName = "Michael_Cui_RYDE_",EntityNumber = 20,Email ="Michael_Cui_RYDE_",CompetitorType = CompetitorType.CouplesTeam,Organisation = orgVivaDance,MobileNumber = "021",FirstName = "",LastName = ""};</v>
      </c>
    </row>
    <row r="22" spans="1:6" x14ac:dyDescent="0.3">
      <c r="A22" s="9" t="s">
        <v>139</v>
      </c>
      <c r="B22" t="str">
        <f t="shared" si="2"/>
        <v>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2" t="str">
        <f t="shared" si="0"/>
        <v>comptrNatalie_Fester_Masha_Johansson</v>
      </c>
      <c r="D22">
        <v>21</v>
      </c>
      <c r="E22" t="s">
        <v>2</v>
      </c>
      <c r="F22" t="str">
        <f t="shared" si="1"/>
        <v>var comptrNatalie_Fester_Masha_Johansson = new Competitor{Id = Guid.NewGuid(),EntityName = "Natalie_Fester_Masha_Johansson",EntityNumber = 21,Email ="Natalie_Fester_Masha_Johansson",CompetitorType = CompetitorType.CouplesTeam,Organisation = orgVivaDance,MobileNumber = "021",FirstName = "",LastName = ""};</v>
      </c>
    </row>
    <row r="23" spans="1:6" x14ac:dyDescent="0.3">
      <c r="A23" s="9" t="s">
        <v>113</v>
      </c>
      <c r="B23" t="str">
        <f t="shared" si="2"/>
        <v>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3" t="str">
        <f t="shared" si="0"/>
        <v>comptrNicola_Taylor_Viva_Dance</v>
      </c>
      <c r="D23">
        <v>22</v>
      </c>
      <c r="E23" t="s">
        <v>2</v>
      </c>
      <c r="F23" t="str">
        <f>"var " &amp; C23 &amp;" = new Competitor{Id = Guid.NewGuid(),EntityName = """&amp; A23 &amp;""",EntityNumber = " &amp; D23 &amp; ",Email =""" &amp; SUBSTITUTE(A23," ","") &amp; """,CompetitorType = " &amp; E23 &amp; ",Organisation = orgVivaDance,MobileNumber = ""021"",FirstName = """",LastName = """"};"</f>
        <v>var comptrNicola_Taylor_Viva_Dance = new Competitor{Id = Guid.NewGuid(),EntityName = "Nicola_Taylor_Viva_Dance",EntityNumber = 22,Email ="Nicola_Taylor_Viva_Dance",CompetitorType = CompetitorType.CouplesTeam,Organisation = orgVivaDance,MobileNumber = "021",FirstName = "",LastName = ""};</v>
      </c>
    </row>
    <row r="24" spans="1:6" x14ac:dyDescent="0.3">
      <c r="A24" s="9" t="s">
        <v>142</v>
      </c>
      <c r="B24" t="str">
        <f t="shared" si="2"/>
        <v>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4" t="str">
        <f t="shared" si="0"/>
        <v>comptrNola_Chong_and_Wayne_Lapwood_Salsa_Con_Coco_</v>
      </c>
      <c r="D24">
        <v>23</v>
      </c>
      <c r="E24" t="s">
        <v>5</v>
      </c>
      <c r="F24" t="str">
        <f t="shared" si="1"/>
        <v>var comptrNola_Chong_and_Wayne_Lapwood_Salsa_Con_Coco_ = new Competitor{Id = Guid.NewGuid(),EntityName = "Nola_Chong_and_Wayne_Lapwood_Salsa_Con_Coco_",EntityNumber = 23,Email ="Nola_Chong_and_Wayne_Lapwood_Salsa_Con_Coco_",CompetitorType = CompetitorType.Couple,Organisation = orgVivaDance,MobileNumber = "021",FirstName = "",LastName = ""};</v>
      </c>
    </row>
    <row r="25" spans="1:6" x14ac:dyDescent="0.3">
      <c r="A25" s="9" t="s">
        <v>140</v>
      </c>
      <c r="B25" t="str">
        <f t="shared" si="2"/>
        <v>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5" t="str">
        <f t="shared" si="0"/>
        <v>comptrSara_Djuric_Pro_and_Jonny_Watson_Am_Sara_and_Sebasitan_Dance_Co</v>
      </c>
      <c r="D25">
        <v>24</v>
      </c>
      <c r="E25" t="s">
        <v>5</v>
      </c>
      <c r="F25" t="str">
        <f t="shared" si="1"/>
        <v>var comptrSara_Djuric_Pro_and_Jonny_Watson_Am_Sara_and_Sebasitan_Dance_Co = new Competitor{Id = Guid.NewGuid(),EntityName = "Sara_Djuric_Pro_and_Jonny_Watson_Am_Sara_and_Sebasitan_Dance_Co",EntityNumber = 24,Email ="Sara_Djuric_Pro_and_Jonny_Watson_Am_Sara_and_Sebasitan_Dance_Co",CompetitorType = CompetitorType.Couple,Organisation = orgVivaDance,MobileNumber = "021",FirstName = "",LastName = ""};</v>
      </c>
    </row>
    <row r="26" spans="1:6" ht="28.8" x14ac:dyDescent="0.3">
      <c r="A26" s="9" t="s">
        <v>132</v>
      </c>
      <c r="B26" t="str">
        <f t="shared" ref="B26:B32" si="3">C26 &amp; "," &amp;B25</f>
        <v>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6" t="str">
        <f t="shared" si="0"/>
        <v>comptrSebasitan_Vera_Pro_and_Lucile_Payraudeau_Am_To_Register_Sara_and_Sebastian_Dance_Co</v>
      </c>
      <c r="D26">
        <v>25</v>
      </c>
      <c r="E26" t="s">
        <v>5</v>
      </c>
      <c r="F26" t="str">
        <f t="shared" si="1"/>
        <v>var comptrSebasitan_Vera_Pro_and_Lucile_Payraudeau_Am_To_Register_Sara_and_Sebastian_Dance_Co = new Competitor{Id = Guid.NewGuid(),EntityName = "Sebasitan_Vera_Pro_and_Lucile_Payraudeau_Am_To_Register_Sara_and_Sebastian_Dance_Co",EntityNumber = 25,Email ="Sebasitan_Vera_Pro_and_Lucile_Payraudeau_Am_To_Register_Sara_and_Sebastian_Dance_Co",CompetitorType = CompetitorType.Couple,Organisation = orgVivaDance,MobileNumber = "021",FirstName = "",LastName = ""};</v>
      </c>
    </row>
    <row r="27" spans="1:6" ht="28.8" x14ac:dyDescent="0.3">
      <c r="A27" s="9" t="s">
        <v>134</v>
      </c>
      <c r="B27" t="str">
        <f t="shared" ref="B27" si="4">C27 &amp; "," &amp;B26</f>
        <v>comptrSebastian_Vera_Pro_and_Nicola_Taylor_Am_Sara_and_Sebastian_Dance_Co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7" t="str">
        <f t="shared" si="0"/>
        <v>comptrSebastian_Vera_Pro_and_Nicola_Taylor_Am_Sara_and_Sebastian_Dance_Co</v>
      </c>
      <c r="D27">
        <v>26</v>
      </c>
      <c r="E27" t="s">
        <v>5</v>
      </c>
      <c r="F27" t="str">
        <f t="shared" si="1"/>
        <v>var comptrSebastian_Vera_Pro_and_Nicola_Taylor_Am_Sara_and_Sebastian_Dance_Co = new Competitor{Id = Guid.NewGuid(),EntityName = "Sebastian_Vera_Pro_and_Nicola_Taylor_Am_Sara_and_Sebastian_Dance_Co",EntityNumber = 26,Email ="Sebastian_Vera_Pro_and_Nicola_Taylor_Am_Sara_and_Sebastian_Dance_Co",CompetitorType = CompetitorType.Couple,Organisation = orgVivaDance,MobileNumber = "021",FirstName = "",LastName = ""};</v>
      </c>
    </row>
    <row r="28" spans="1:6" x14ac:dyDescent="0.3">
      <c r="A28" s="9" t="s">
        <v>124</v>
      </c>
      <c r="B28" t="str">
        <f>C28 &amp; "," &amp;B26</f>
        <v>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8" t="str">
        <f t="shared" si="0"/>
        <v>comptrSofia_Radak_Ryde</v>
      </c>
      <c r="D28">
        <v>27</v>
      </c>
      <c r="E28" t="s">
        <v>5</v>
      </c>
      <c r="F28" t="str">
        <f t="shared" si="1"/>
        <v>var comptrSofia_Radak_Ryde = new Competitor{Id = Guid.NewGuid(),EntityName = "Sofia_Radak_Ryde",EntityNumber = 27,Email ="Sofia_Radak_Ryde",CompetitorType = CompetitorType.Couple,Organisation = orgVivaDance,MobileNumber = "021",FirstName = "",LastName = ""};</v>
      </c>
    </row>
    <row r="29" spans="1:6" x14ac:dyDescent="0.3">
      <c r="A29" s="9" t="s">
        <v>125</v>
      </c>
      <c r="B29" t="str">
        <f t="shared" si="3"/>
        <v>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9" t="str">
        <f t="shared" si="0"/>
        <v>comptrYan_Zhou_and_Ricardo_Grecco_RYDE</v>
      </c>
      <c r="D29">
        <v>28</v>
      </c>
      <c r="E29" t="s">
        <v>5</v>
      </c>
      <c r="F29" t="str">
        <f t="shared" si="1"/>
        <v>var comptrYan_Zhou_and_Ricardo_Grecco_RYDE = new Competitor{Id = Guid.NewGuid(),EntityName = "Yan_Zhou_and_Ricardo_Grecco_RYDE",EntityNumber = 28,Email ="Yan_Zhou_and_Ricardo_Grecco_RYDE",CompetitorType = CompetitorType.Couple,Organisation = orgVivaDance,MobileNumber = "021",FirstName = "",LastName = ""};</v>
      </c>
    </row>
    <row r="30" spans="1:6" x14ac:dyDescent="0.3">
      <c r="A30" s="9" t="s">
        <v>143</v>
      </c>
      <c r="B30" t="str">
        <f t="shared" si="3"/>
        <v>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0" t="str">
        <f t="shared" si="0"/>
        <v>comptrYan_Zhou_RYDE</v>
      </c>
      <c r="D30">
        <v>29</v>
      </c>
      <c r="E30" t="s">
        <v>5</v>
      </c>
      <c r="F30" t="str">
        <f t="shared" si="1"/>
        <v>var comptrYan_Zhou_RYDE = new Competitor{Id = Guid.NewGuid(),EntityName = "Yan_Zhou_RYDE",EntityNumber = 29,Email ="Yan_Zhou_RYDE",CompetitorType = CompetitorType.Couple,Organisation = orgVivaDance,MobileNumber = "021",FirstName = "",LastName = ""};</v>
      </c>
    </row>
    <row r="31" spans="1:6" x14ac:dyDescent="0.3">
      <c r="A31" s="9" t="s">
        <v>129</v>
      </c>
      <c r="B31" t="str">
        <f t="shared" si="3"/>
        <v>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1" t="str">
        <f t="shared" si="0"/>
        <v>comptrYohei_Mikawa_Pro_and_Farya_Zaman_Am_Self_Represented</v>
      </c>
      <c r="D31">
        <v>30</v>
      </c>
      <c r="E31" t="s">
        <v>5</v>
      </c>
      <c r="F31" t="str">
        <f t="shared" si="1"/>
        <v>var comptrYohei_Mikawa_Pro_and_Farya_Zaman_Am_Self_Represented = new Competitor{Id = Guid.NewGuid(),EntityName = "Yohei_Mikawa_Pro_and_Farya_Zaman_Am_Self_Represented",EntityNumber = 30,Email ="Yohei_Mikawa_Pro_and_Farya_Zaman_Am_Self_Represented",CompetitorType = CompetitorType.Couple,Organisation = orgVivaDance,MobileNumber = "021",FirstName = "",LastName = ""};</v>
      </c>
    </row>
    <row r="32" spans="1:6" x14ac:dyDescent="0.3">
      <c r="A32" s="9" t="s">
        <v>117</v>
      </c>
      <c r="B32" t="str">
        <f t="shared" si="3"/>
        <v>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2" t="str">
        <f t="shared" si="0"/>
        <v>comptrYohei_Mikawa_Self_Represented</v>
      </c>
      <c r="D32">
        <v>31</v>
      </c>
      <c r="E32" t="s">
        <v>5</v>
      </c>
      <c r="F32" t="str">
        <f t="shared" si="1"/>
        <v>var comptrYohei_Mikawa_Self_Represented = new Competitor{Id = Guid.NewGuid(),EntityName = "Yohei_Mikawa_Self_Represented",EntityNumber = 31,Email ="Yohei_Mikawa_Self_Represented",CompetitorType = CompetitorType.Couple,Organisation = orgVivaDance,MobileNumber = "021",FirstName = "",LastName = ""};</v>
      </c>
    </row>
    <row r="33" spans="1:6" x14ac:dyDescent="0.3">
      <c r="A33" s="9" t="s">
        <v>157</v>
      </c>
      <c r="B33" t="str">
        <f t="shared" ref="B33:B45" si="5">C33 &amp; "," &amp;B32</f>
        <v>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3" t="str">
        <f t="shared" ref="C33:C45" si="6">"comptr" &amp;SUBSTITUTE(SUBSTITUTE(A33," ",""),"_","_")</f>
        <v>comptrSalsa_Latina</v>
      </c>
      <c r="D33">
        <v>32</v>
      </c>
      <c r="E33" t="s">
        <v>5</v>
      </c>
      <c r="F33" t="str">
        <f t="shared" ref="F33:F45" si="7">"var " &amp; C33 &amp;" = new Competitor{Id = Guid.NewGuid(),EntityName = """&amp; A33 &amp;""",EntityNumber = " &amp; D33 &amp; ",Email =""" &amp; SUBSTITUTE(A33," ","") &amp; """,CompetitorType = " &amp; E33 &amp; ",Organisation = orgVivaDance,MobileNumber = ""021"",FirstName = """",LastName = """"};"</f>
        <v>var comptrSalsa_Latina = new Competitor{Id = Guid.NewGuid(),EntityName = "Salsa_Latina",EntityNumber = 32,Email ="Salsa_Latina",CompetitorType = CompetitorType.Couple,Organisation = orgVivaDance,MobileNumber = "021",FirstName = "",LastName = ""};</v>
      </c>
    </row>
    <row r="34" spans="1:6" x14ac:dyDescent="0.3">
      <c r="A34" s="9" t="s">
        <v>158</v>
      </c>
      <c r="B34" t="str">
        <f t="shared" si="5"/>
        <v>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4" t="str">
        <f t="shared" si="6"/>
        <v>comptrPassion_Of_Expression_Salsa_Team</v>
      </c>
      <c r="D34">
        <v>33</v>
      </c>
      <c r="E34" t="s">
        <v>5</v>
      </c>
      <c r="F34" t="str">
        <f t="shared" si="7"/>
        <v>var comptrPassion_Of_Expression_Salsa_Team = new Competitor{Id = Guid.NewGuid(),EntityName = "Passion_Of_Expression_Salsa_Team",EntityNumber = 33,Email ="Passion_Of_Expression_Salsa_Team",CompetitorType = CompetitorType.Couple,Organisation = orgVivaDance,MobileNumber = "021",FirstName = "",LastName = ""};</v>
      </c>
    </row>
    <row r="35" spans="1:6" x14ac:dyDescent="0.3">
      <c r="A35" s="9" t="s">
        <v>159</v>
      </c>
      <c r="B35" t="str">
        <f t="shared" si="5"/>
        <v>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5" t="str">
        <f t="shared" si="6"/>
        <v>comptrSalsa_Con_Coco_Pelota</v>
      </c>
      <c r="D35">
        <v>34</v>
      </c>
      <c r="E35" t="s">
        <v>5</v>
      </c>
      <c r="F35" t="str">
        <f t="shared" si="7"/>
        <v>var comptrSalsa_Con_Coco_Pelota = new Competitor{Id = Guid.NewGuid(),EntityName = "Salsa_Con_Coco_Pelota",EntityNumber = 34,Email ="Salsa_Con_Coco_Pelota",CompetitorType = CompetitorType.Couple,Organisation = orgVivaDance,MobileNumber = "021",FirstName = "",LastName = ""};</v>
      </c>
    </row>
    <row r="36" spans="1:6" x14ac:dyDescent="0.3">
      <c r="A36" s="9" t="s">
        <v>160</v>
      </c>
      <c r="B36" t="str">
        <f t="shared" si="5"/>
        <v>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6" t="str">
        <f t="shared" si="6"/>
        <v>comptrRYDE_Salsa_Team</v>
      </c>
      <c r="D36">
        <v>35</v>
      </c>
      <c r="E36" t="s">
        <v>5</v>
      </c>
      <c r="F36" t="str">
        <f t="shared" si="7"/>
        <v>var comptrRYDE_Salsa_Team = new Competitor{Id = Guid.NewGuid(),EntityName = "RYDE_Salsa_Team",EntityNumber = 35,Email ="RYDE_Salsa_Team",CompetitorType = CompetitorType.Couple,Organisation = orgVivaDance,MobileNumber = "021",FirstName = "",LastName = ""};</v>
      </c>
    </row>
    <row r="37" spans="1:6" x14ac:dyDescent="0.3">
      <c r="A37" s="9" t="s">
        <v>161</v>
      </c>
      <c r="B37" t="str">
        <f t="shared" si="5"/>
        <v>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7" t="str">
        <f t="shared" si="6"/>
        <v>comptrSalsa_Latina_Mambo_Team</v>
      </c>
      <c r="D37">
        <v>36</v>
      </c>
      <c r="E37" t="s">
        <v>5</v>
      </c>
      <c r="F37" t="str">
        <f t="shared" si="7"/>
        <v>var comptrSalsa_Latina_Mambo_Team = new Competitor{Id = Guid.NewGuid(),EntityName = "Salsa_Latina_Mambo_Team",EntityNumber = 36,Email ="Salsa_Latina_Mambo_Team",CompetitorType = CompetitorType.Couple,Organisation = orgVivaDance,MobileNumber = "021",FirstName = "",LastName = ""};</v>
      </c>
    </row>
    <row r="38" spans="1:6" x14ac:dyDescent="0.3">
      <c r="A38" s="9" t="s">
        <v>162</v>
      </c>
      <c r="B38" t="str">
        <f t="shared" si="5"/>
        <v>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8" t="str">
        <f t="shared" si="6"/>
        <v>comptrPassion_Of_Expressions_Bachata_Team</v>
      </c>
      <c r="D38">
        <v>37</v>
      </c>
      <c r="E38" t="s">
        <v>5</v>
      </c>
      <c r="F38" t="str">
        <f t="shared" si="7"/>
        <v>var comptrPassion_Of_Expressions_Bachata_Team = new Competitor{Id = Guid.NewGuid(),EntityName = "Passion_Of_Expressions_Bachata_Team",EntityNumber = 37,Email ="Passion_Of_Expressions_Bachata_Team",CompetitorType = CompetitorType.Couple,Organisation = orgVivaDance,MobileNumber = "021",FirstName = "",LastName = ""};</v>
      </c>
    </row>
    <row r="39" spans="1:6" x14ac:dyDescent="0.3">
      <c r="A39" s="9" t="s">
        <v>163</v>
      </c>
      <c r="B39" t="str">
        <f t="shared" si="5"/>
        <v>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9" t="str">
        <f t="shared" si="6"/>
        <v>comptrRYDE_Salsa_Shines_Team</v>
      </c>
      <c r="D39">
        <v>38</v>
      </c>
      <c r="E39" t="s">
        <v>5</v>
      </c>
      <c r="F39" t="str">
        <f t="shared" si="7"/>
        <v>var comptrRYDE_Salsa_Shines_Team = new Competitor{Id = Guid.NewGuid(),EntityName = "RYDE_Salsa_Shines_Team",EntityNumber = 38,Email ="RYDE_Salsa_Shines_Team",CompetitorType = CompetitorType.Couple,Organisation = orgVivaDance,MobileNumber = "021",FirstName = "",LastName = ""};</v>
      </c>
    </row>
    <row r="40" spans="1:6" x14ac:dyDescent="0.3">
      <c r="A40" s="9" t="s">
        <v>164</v>
      </c>
      <c r="B40" t="str">
        <f t="shared" si="5"/>
        <v>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0" t="str">
        <f t="shared" si="6"/>
        <v>comptrRitmos_Candentes_Cha</v>
      </c>
      <c r="D40">
        <v>39</v>
      </c>
      <c r="E40" t="s">
        <v>5</v>
      </c>
      <c r="F40" t="str">
        <f t="shared" si="7"/>
        <v>var comptrRitmos_Candentes_Cha = new Competitor{Id = Guid.NewGuid(),EntityName = "Ritmos_Candentes_Cha",EntityNumber = 39,Email ="Ritmos_Candentes_Cha",CompetitorType = CompetitorType.Couple,Organisation = orgVivaDance,MobileNumber = "021",FirstName = "",LastName = ""};</v>
      </c>
    </row>
    <row r="41" spans="1:6" x14ac:dyDescent="0.3">
      <c r="A41" s="9" t="s">
        <v>165</v>
      </c>
      <c r="B41" t="str">
        <f t="shared" si="5"/>
        <v>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1" t="str">
        <f t="shared" si="6"/>
        <v>comptrLas_Isadoras_Salsa_Latina</v>
      </c>
      <c r="D41">
        <v>40</v>
      </c>
      <c r="E41" t="s">
        <v>5</v>
      </c>
      <c r="F41" t="str">
        <f t="shared" si="7"/>
        <v>var comptrLas_Isadoras_Salsa_Latina = new Competitor{Id = Guid.NewGuid(),EntityName = "Las_Isadoras_Salsa_Latina",EntityNumber = 40,Email ="Las_Isadoras_Salsa_Latina",CompetitorType = CompetitorType.Couple,Organisation = orgVivaDance,MobileNumber = "021",FirstName = "",LastName = ""};</v>
      </c>
    </row>
    <row r="42" spans="1:6" x14ac:dyDescent="0.3">
      <c r="A42" s="9" t="s">
        <v>166</v>
      </c>
      <c r="B42" t="str">
        <f t="shared" si="5"/>
        <v>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2" t="str">
        <f t="shared" si="6"/>
        <v>comptrRitmos_Candentes_Bachata</v>
      </c>
      <c r="D42">
        <v>41</v>
      </c>
      <c r="E42" t="s">
        <v>5</v>
      </c>
      <c r="F42" t="str">
        <f t="shared" si="7"/>
        <v>var comptrRitmos_Candentes_Bachata = new Competitor{Id = Guid.NewGuid(),EntityName = "Ritmos_Candentes_Bachata",EntityNumber = 41,Email ="Ritmos_Candentes_Bachata",CompetitorType = CompetitorType.Couple,Organisation = orgVivaDance,MobileNumber = "021",FirstName = "",LastName = ""};</v>
      </c>
    </row>
    <row r="43" spans="1:6" x14ac:dyDescent="0.3">
      <c r="A43" s="9" t="s">
        <v>167</v>
      </c>
      <c r="B43" t="str">
        <f t="shared" si="5"/>
        <v>comptrSweet_Azucar_Showcase_Team,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3" t="str">
        <f t="shared" si="6"/>
        <v>comptrSweet_Azucar_Showcase_Team</v>
      </c>
      <c r="D43">
        <v>42</v>
      </c>
      <c r="E43" t="s">
        <v>5</v>
      </c>
      <c r="F43" t="str">
        <f t="shared" si="7"/>
        <v>var comptrSweet_Azucar_Showcase_Team = new Competitor{Id = Guid.NewGuid(),EntityName = "Sweet_Azucar_Showcase_Team",EntityNumber = 42,Email ="Sweet_Azucar_Showcase_Team",CompetitorType = CompetitorType.Couple,Organisation = orgVivaDance,MobileNumber = "021",FirstName = "",LastName = ""};</v>
      </c>
    </row>
    <row r="44" spans="1:6" x14ac:dyDescent="0.3">
      <c r="A44" s="9" t="s">
        <v>169</v>
      </c>
      <c r="B44" t="str">
        <f t="shared" si="5"/>
        <v>comptrSalsa_Latina_Bachata_Kizomba_Team,comptrSweet_Azucar_Showcase_Team,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4" t="str">
        <f t="shared" si="6"/>
        <v>comptrSalsa_Latina_Bachata_Kizomba_Team</v>
      </c>
      <c r="D44">
        <v>43</v>
      </c>
      <c r="E44" t="s">
        <v>5</v>
      </c>
      <c r="F44" t="str">
        <f t="shared" si="7"/>
        <v>var comptrSalsa_Latina_Bachata_Kizomba_Team = new Competitor{Id = Guid.NewGuid(),EntityName = "Salsa_Latina_Bachata_Kizomba_Team",EntityNumber = 43,Email ="Salsa_Latina_Bachata_Kizomba_Team",CompetitorType = CompetitorType.Couple,Organisation = orgVivaDance,MobileNumber = "021",FirstName = "",LastName = ""};</v>
      </c>
    </row>
    <row r="45" spans="1:6" x14ac:dyDescent="0.3">
      <c r="A45" s="9" t="s">
        <v>168</v>
      </c>
      <c r="B45" t="str">
        <f t="shared" si="5"/>
        <v>comptrSalsa_Con_Coco_Mixed_Latin_Team,comptrSalsa_Latina_Bachata_Kizomba_Team,comptrSweet_Azucar_Showcase_Team,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5" t="str">
        <f t="shared" si="6"/>
        <v>comptrSalsa_Con_Coco_Mixed_Latin_Team</v>
      </c>
      <c r="D45">
        <v>44</v>
      </c>
      <c r="E45" t="s">
        <v>5</v>
      </c>
      <c r="F45" t="str">
        <f t="shared" si="7"/>
        <v>var comptrSalsa_Con_Coco_Mixed_Latin_Team = new Competitor{Id = Guid.NewGuid(),EntityName = "Salsa_Con_Coco_Mixed_Latin_Team",EntityNumber = 44,Email ="Salsa_Con_Coco_Mixed_Latin_Team",CompetitorType = CompetitorType.Couple,Organisation = orgVivaDance,MobileNumber = "021",FirstName = "",LastName = ""};</v>
      </c>
    </row>
    <row r="46" spans="1:6" x14ac:dyDescent="0.3">
      <c r="A46" s="9"/>
    </row>
    <row r="48" spans="1:6" x14ac:dyDescent="0.3">
      <c r="A48" s="3" t="str">
        <f>"new List&lt;Competitor&gt;{" &amp; csvRange(C:C) &amp; "}.ForEach(x=&gt;context.Competitors.Add(x));"</f>
        <v>new List&lt;Competitor&gt;{comptrAlberto_Juarez_Pro_Anoushka_Jain_Am_Passion_Of_Expression,comptrAracelly_Roxana_Silva_Cortes_and_Rodrigo_Hernan_Plaza_Rosales_Self_Represented,comptrArturo_Flores_and_Kirsten_Scott_Salsa_Cartel_Australia,comptrArturo_Flores_Salsa_Cartel_Australia,comptrBen_Hammond_Self_Represented,comptrCamila_Sarlo_RYDE,comptrCoco_and_Debbie_Chou_Salsa_Con_Coco_,comptrCoco_Pro_Helga_Moran_Am_Salsa_Con_Coco,comptrCoco_Salsa_Con_Coco,comptrDebbie_Chou_Salsa_Con_Coco,comptrDiane_Field_and_Jorge_Sequeiros_Salsa_Con_Coco,comptrFarya_Zaman_RYDE,comptrHannah_Gin_and_Michelle_Knowler_Self_represented,comptrKathrin_Robertson_and_Lee_Aiono_Salsa_In_The_Suburbs,comptrKirsten_Scott_Salsa_Cartel_Australia,comptrKrissi_Gould_and_Phil_Gentry_Self_Represented,comptrLee_Aiono_Salsa_In_The_Suburbs,comptrLiz_Parons_Sweet_Azucar,comptrMia_Yatiswara_and_Robyn_Lindsay_Ritmos_Candentes,comptrMichael_Cui_RYDE_,comptrNatalie_Fester_Masha_Johansson,comptrNicola_Taylor_Viva_Dance,comptrNola_Chong_and_Wayne_Lapwood_Salsa_Con_Coco_,comptrSara_Djuric_Pro_and_Jonny_Watson_Am_Sara_and_Sebasitan_Dance_Co,comptrSebasitan_Vera_Pro_and_Lucile_Payraudeau_Am_To_Register_Sara_and_Sebastian_Dance_Co,comptrSebastian_Vera_Pro_and_Nicola_Taylor_Am_Sara_and_Sebastian_Dance_Co,comptrSofia_Radak_Ryde,comptrYan_Zhou_and_Ricardo_Grecco_RYDE,comptrYan_Zhou_RYDE,comptrYohei_Mikawa_Pro_and_Farya_Zaman_Am_Self_Represented,comptrYohei_Mikawa_Self_Represented,comptrSalsa_Latina,comptrPassion_Of_Expression_Salsa_Team,comptrSalsa_Con_Coco_Pelota,comptrRYDE_Salsa_Team,comptrSalsa_Latina_Mambo_Team,comptrPassion_Of_Expressions_Bachata_Team,comptrRYDE_Salsa_Shines_Team,comptrRitmos_Candentes_Cha,comptrLas_Isadoras_Salsa_Latina,comptrRitmos_Candentes_Bachata,comptrSweet_Azucar_Showcase_Team,comptrSalsa_Latina_Bachata_Kizomba_Team,comptrSalsa_Con_Coco_Mixed_Latin_Team}.ForEach(x=&gt;context.Competitors.Add(x));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40"/>
  <sheetViews>
    <sheetView topLeftCell="L1" workbookViewId="0">
      <selection activeCell="AB2" sqref="AB2"/>
    </sheetView>
  </sheetViews>
  <sheetFormatPr defaultRowHeight="14.4" x14ac:dyDescent="0.3"/>
  <cols>
    <col min="2" max="2" width="26.33203125" bestFit="1" customWidth="1"/>
    <col min="3" max="3" width="29.6640625" bestFit="1" customWidth="1"/>
    <col min="4" max="4" width="6.6640625" customWidth="1"/>
    <col min="5" max="5" width="17.88671875" customWidth="1"/>
    <col min="6" max="6" width="0.5546875" customWidth="1"/>
    <col min="7" max="7" width="13.109375" bestFit="1" customWidth="1"/>
    <col min="8" max="8" width="9.44140625" customWidth="1"/>
    <col min="9" max="9" width="1" customWidth="1"/>
    <col min="10" max="10" width="92.33203125" bestFit="1" customWidth="1"/>
    <col min="11" max="11" width="187.109375" bestFit="1" customWidth="1"/>
  </cols>
  <sheetData>
    <row r="1" spans="1:28" s="3" customFormat="1" x14ac:dyDescent="0.3">
      <c r="A1" s="3" t="s">
        <v>39</v>
      </c>
      <c r="B1" s="3" t="s">
        <v>107</v>
      </c>
      <c r="E1" s="3" t="s">
        <v>76</v>
      </c>
      <c r="G1" s="3" t="s">
        <v>77</v>
      </c>
      <c r="H1" s="3" t="s">
        <v>108</v>
      </c>
    </row>
    <row r="2" spans="1:28" x14ac:dyDescent="0.3">
      <c r="A2" s="6">
        <v>0.58333333333333404</v>
      </c>
      <c r="B2" t="str">
        <f t="shared" ref="B2:B7" si="0">F2 &amp; " " &amp; G2</f>
        <v>Novice Salsa Solo Female</v>
      </c>
      <c r="C2" t="str">
        <f t="shared" ref="C2:C7" si="1">"comp" &amp;SUBSTITUTE(SUBSTITUTE(B2," ",""),"–","")</f>
        <v>compNoviceSalsaSoloFemale</v>
      </c>
      <c r="D2">
        <v>6</v>
      </c>
      <c r="E2" t="s">
        <v>102</v>
      </c>
      <c r="F2" t="str">
        <f>VLOOKUP(E2,divisions!$A$1:$B$16,2,FALSE)</f>
        <v>Novice</v>
      </c>
      <c r="G2" t="s">
        <v>25</v>
      </c>
      <c r="J2" t="str">
        <f t="shared" ref="J2:J25" si="2">"var "&amp;C2&amp;" = new Competition { Id = Guid.NewGuid(), Location = location, Name = """&amp;B2&amp;""", " &amp; "Category = "&amp;E2&amp;".Categories.First(x=&gt;x.Caption=="""&amp;B2&amp;"""), CompetitionStatus = CompetitionStatus.Created, StartedOn = DateTimeOffset.Parse(""2014-11-15 "&amp;A2&amp;"""), CompletedOn = null, " &amp; "CreatedOn = DateTimeOffset.Now, CompetitorCompetitions = competitorCompetitions, JudgeCompetitions = judgeCompetitions };"</f>
        <v>var compNoviceSalsaSoloFemale = new Competition { Id = Guid.NewGuid(), Location = location, Name = "Novice Salsa Solo Female", Category = divNovice.Categories.First(x=&gt;x.Caption=="Novice Salsa Solo Female"), CompetitionStatus = CompetitionStatus.Created, StartedOn = DateTimeOffset.Parse("2014-11-15 0.583333333333334"), CompletedOn = null, CreatedOn = DateTimeOffset.Now, CompetitorCompetitions = competitorCompetitions, JudgeCompetitions = judgeCompetitions };</v>
      </c>
      <c r="AB2" t="str">
        <f>E2 &amp;"."&amp; SUBSTITUTE(VLOOKUP(G2,categories!$A$1:$D$43,4,FALSE),"Caption = """, "Caption = """&amp;F2 &amp;" ")</f>
        <v>divNovice.Categories.Add(new Category{Caption = "Novice Salsa Solo Female",Requirements = "100% choreography",Id = Guid.NewGuid(),CreatedOn = DateTimeOffset.Now});</v>
      </c>
    </row>
    <row r="3" spans="1:28" x14ac:dyDescent="0.3">
      <c r="A3" s="6">
        <v>0.59375</v>
      </c>
      <c r="B3" t="str">
        <f t="shared" ref="B3" si="3">F3 &amp; " " &amp; G3</f>
        <v>Amateur Salsa Solo male</v>
      </c>
      <c r="C3" t="str">
        <f t="shared" ref="C3" si="4">"comp" &amp;SUBSTITUTE(SUBSTITUTE(B3," ",""),"–","")</f>
        <v>compAmateurSalsaSolomale</v>
      </c>
      <c r="D3">
        <v>7</v>
      </c>
      <c r="E3" t="s">
        <v>7</v>
      </c>
      <c r="F3" t="str">
        <f>VLOOKUP(E3,divisions!$A$1:$B$16,2,FALSE)</f>
        <v>Amateur</v>
      </c>
      <c r="G3" t="s">
        <v>104</v>
      </c>
      <c r="J3" t="str">
        <f t="shared" si="2"/>
        <v>var compAmateurSalsaSolomale = new Competition { Id = Guid.NewGuid(), Location = location, Name = "Amateur Salsa Solo male", Category = divAmatuer.Categories.First(x=&gt;x.Caption=="Amateur Salsa Solo male"), CompetitionStatus = CompetitionStatus.Created, StartedOn = DateTimeOffset.Parse("2014-11-15 0.59375"), CompletedOn = null, CreatedOn = DateTimeOffset.Now, CompetitorCompetitions = competitorCompetitions, JudgeCompetitions = judgeCompetitions };</v>
      </c>
      <c r="AB3" t="str">
        <f>E3 &amp;"."&amp; SUBSTITUTE(VLOOKUP(G3,categories!$A$1:$D$43,4,FALSE),"Caption = """, "Caption = """&amp;F3 &amp;" ")</f>
        <v>divAmatuer.Categories.Add(new Category{Caption = "Amateur Salsa Solo Male",Requirements = "100% choreography",Id = Guid.NewGuid(),CreatedOn = DateTimeOffset.Now});</v>
      </c>
    </row>
    <row r="4" spans="1:28" x14ac:dyDescent="0.3">
      <c r="A4" s="6">
        <v>0.59375</v>
      </c>
      <c r="B4" t="str">
        <f t="shared" si="0"/>
        <v>Amateur Salsa Solo Female</v>
      </c>
      <c r="C4" t="str">
        <f t="shared" si="1"/>
        <v>compAmateurSalsaSoloFemale</v>
      </c>
      <c r="D4">
        <v>7</v>
      </c>
      <c r="E4" t="s">
        <v>7</v>
      </c>
      <c r="F4" t="str">
        <f>VLOOKUP(E4,divisions!$A$1:$B$16,2,FALSE)</f>
        <v>Amateur</v>
      </c>
      <c r="G4" t="s">
        <v>25</v>
      </c>
      <c r="J4" t="str">
        <f t="shared" si="2"/>
        <v>var compAmateurSalsaSoloFemale = new Competition { Id = Guid.NewGuid(), Location = location, Name = "Amateur Salsa Solo Female", Category = divAmatuer.Categories.First(x=&gt;x.Caption=="Amateur Salsa Solo Female"), CompetitionStatus = CompetitionStatus.Created, StartedOn = DateTimeOffset.Parse("2014-11-15 0.59375"), CompletedOn = null, CreatedOn = DateTimeOffset.Now, CompetitorCompetitions = competitorCompetitions, JudgeCompetitions = judgeCompetitions };</v>
      </c>
      <c r="AB4" t="str">
        <f>E4 &amp;"."&amp; SUBSTITUTE(VLOOKUP(G4,categories!$A$1:$D$43,4,FALSE),"Caption = """, "Caption = """&amp;F4 &amp;" ")</f>
        <v>divAmatuer.Categories.Add(new Category{Caption = "Amateur Salsa Solo Female",Requirements = "100% choreography",Id = Guid.NewGuid(),CreatedOn = DateTimeOffset.Now});</v>
      </c>
    </row>
    <row r="5" spans="1:28" x14ac:dyDescent="0.3">
      <c r="A5" s="6">
        <v>0.61458333333333404</v>
      </c>
      <c r="B5" t="str">
        <f t="shared" si="0"/>
        <v>Professional Salsa Solo Female</v>
      </c>
      <c r="C5" t="str">
        <f t="shared" si="1"/>
        <v>compProfessionalSalsaSoloFemale</v>
      </c>
      <c r="D5">
        <v>9</v>
      </c>
      <c r="E5" t="s">
        <v>12</v>
      </c>
      <c r="F5" t="str">
        <f>VLOOKUP(E5,divisions!$A$1:$B$16,2,FALSE)</f>
        <v>Professional</v>
      </c>
      <c r="G5" t="s">
        <v>25</v>
      </c>
      <c r="J5" t="str">
        <f t="shared" si="2"/>
        <v>var compProfessionalSalsaSoloFemale = new Competition { Id = Guid.NewGuid(), Location = location, Name = "Professional Salsa Solo Female", Category = divProf.Categories.First(x=&gt;x.Caption=="Professional Salsa Solo Female"), CompetitionStatus = CompetitionStatus.Created, StartedOn = DateTimeOffset.Parse("2014-11-15 0.614583333333334"), CompletedOn = null, CreatedOn = DateTimeOffset.Now, CompetitorCompetitions = competitorCompetitions, JudgeCompetitions = judgeCompetitions };</v>
      </c>
      <c r="AB5" t="str">
        <f>E5 &amp;"."&amp; SUBSTITUTE(VLOOKUP(G5,categories!$A$1:$D$43,4,FALSE),"Caption = """, "Caption = """&amp;F5 &amp;" ")</f>
        <v>divProf.Categories.Add(new Category{Caption = "Professional Salsa Solo Female",Requirements = "100% choreography",Id = Guid.NewGuid(),CreatedOn = DateTimeOffset.Now});</v>
      </c>
    </row>
    <row r="6" spans="1:28" x14ac:dyDescent="0.3">
      <c r="A6" s="6">
        <v>0.625000000000001</v>
      </c>
      <c r="B6" t="str">
        <f t="shared" si="0"/>
        <v>Professional Salsa Solo Male</v>
      </c>
      <c r="C6" t="str">
        <f t="shared" si="1"/>
        <v>compProfessionalSalsaSoloMale</v>
      </c>
      <c r="D6">
        <v>10</v>
      </c>
      <c r="E6" t="s">
        <v>12</v>
      </c>
      <c r="F6" t="str">
        <f>VLOOKUP(E6,divisions!$A$1:$B$16,2,FALSE)</f>
        <v>Professional</v>
      </c>
      <c r="G6" t="s">
        <v>26</v>
      </c>
      <c r="J6" t="str">
        <f t="shared" si="2"/>
        <v>var compProfessionalSalsaSoloMale = new Competition { Id = Guid.NewGuid(), Location = location, Name = "Professional Salsa Solo Male", Category = divProf.Categories.First(x=&gt;x.Caption=="Professional Salsa Solo Male"), CompetitionStatus = CompetitionStatus.Created, StartedOn = DateTimeOffset.Parse("2014-11-15 0.625000000000001"), CompletedOn = null, CreatedOn = DateTimeOffset.Now, CompetitorCompetitions = competitorCompetitions, JudgeCompetitions = judgeCompetitions };</v>
      </c>
      <c r="AB6" t="str">
        <f>E6 &amp;"."&amp; SUBSTITUTE(VLOOKUP(G6,categories!$A$1:$D$43,4,FALSE),"Caption = """, "Caption = """&amp;F6 &amp;" ")</f>
        <v>divProf.Categories.Add(new Category{Caption = "Professional Salsa Solo Male",Requirements = "100% choreography",Id = Guid.NewGuid(),CreatedOn = DateTimeOffset.Now});</v>
      </c>
    </row>
    <row r="7" spans="1:28" x14ac:dyDescent="0.3">
      <c r="A7" s="6">
        <v>0.63541666666666696</v>
      </c>
      <c r="B7" t="str">
        <f t="shared" si="0"/>
        <v>Open Latin Solo Mixed</v>
      </c>
      <c r="C7" t="str">
        <f t="shared" si="1"/>
        <v>compOpenLatinSoloMixed</v>
      </c>
      <c r="D7">
        <v>11</v>
      </c>
      <c r="E7" t="s">
        <v>13</v>
      </c>
      <c r="F7" t="str">
        <f>VLOOKUP(E7,divisions!$A$1:$B$16,2,FALSE)</f>
        <v>Open</v>
      </c>
      <c r="G7" t="s">
        <v>79</v>
      </c>
      <c r="J7" t="str">
        <f t="shared" si="2"/>
        <v>var compOpenLatinSoloMixed = new Competition { Id = Guid.NewGuid(), Location = location, Name = "Open Latin Solo Mixed", Category = divOpen.Categories.First(x=&gt;x.Caption=="Open Latin Solo Mixed"), CompetitionStatus = CompetitionStatus.Created, StartedOn = DateTimeOffset.Parse("2014-11-15 0.635416666666667"), CompletedOn = null, CreatedOn = DateTimeOffset.Now, CompetitorCompetitions = competitorCompetitions, JudgeCompetitions = judgeCompetitions };</v>
      </c>
      <c r="AB7" t="str">
        <f>E7 &amp;"."&amp; SUBSTITUTE(VLOOKUP(G7,categories!$A$1:$D$43,4,FALSE),"Caption = """, "Caption = """&amp;F7 &amp;" ")</f>
        <v>divOpen.Categories.Add(new Category{Caption = "Open Latin Solo Mixed",Requirements = "100% choreography",Id = Guid.NewGuid(),CreatedOn = DateTimeOffset.Now});</v>
      </c>
    </row>
    <row r="8" spans="1:28" x14ac:dyDescent="0.3">
      <c r="A8" s="6">
        <v>0.64583333333333404</v>
      </c>
      <c r="B8" t="str">
        <f t="shared" ref="B8" si="5">F8 &amp; " " &amp; G8</f>
        <v>Masters Salsa Solo Mixed</v>
      </c>
      <c r="C8" t="str">
        <f t="shared" ref="C8" si="6">"comp" &amp;SUBSTITUTE(SUBSTITUTE(B8," ",""),"–","")</f>
        <v>compMastersSalsaSoloMixed</v>
      </c>
      <c r="D8">
        <v>12</v>
      </c>
      <c r="E8" t="s">
        <v>105</v>
      </c>
      <c r="F8" t="str">
        <f>VLOOKUP(E8,divisions!$A$1:$B$16,2,FALSE)</f>
        <v>Masters</v>
      </c>
      <c r="G8" t="s">
        <v>78</v>
      </c>
      <c r="J8" t="str">
        <f t="shared" si="2"/>
        <v>var compMastersSalsaSoloMixed = new Competition { Id = Guid.NewGuid(), Location = location, Name = "Masters Salsa Solo Mixed", Category = divMasters.Categories.First(x=&gt;x.Caption=="Masters Salsa Solo Mixed"), CompetitionStatus = CompetitionStatus.Created, StartedOn = DateTimeOffset.Parse("2014-11-15 0.645833333333334"), CompletedOn = null, CreatedOn = DateTimeOffset.Now, CompetitorCompetitions = competitorCompetitions, JudgeCompetitions = judgeCompetitions };</v>
      </c>
      <c r="AB8" t="str">
        <f>E8 &amp;"."&amp; SUBSTITUTE(VLOOKUP(G8,categories!$A$1:$D$43,4,FALSE),"Caption = """, "Caption = """&amp;F8 &amp;" ")</f>
        <v>divMasters.Categories.Add(new Category{Caption = "Masters Salsa Solo Mixed",Requirements = "100% choreography",Id = Guid.NewGuid(),CreatedOn = DateTimeOffset.Now});</v>
      </c>
    </row>
    <row r="9" spans="1:28" ht="19.5" customHeight="1" x14ac:dyDescent="0.3">
      <c r="A9" s="6">
        <v>0.67708333333333504</v>
      </c>
      <c r="B9" t="str">
        <f t="shared" ref="B9:B17" si="7">F9 &amp; " " &amp; G9</f>
        <v>Open Salsa Shines Duets</v>
      </c>
      <c r="C9" t="str">
        <f t="shared" ref="C9:C17" si="8">"comp" &amp;SUBSTITUTE(SUBSTITUTE(B9," ",""),"–","")</f>
        <v>compOpenSalsaShinesDuets</v>
      </c>
      <c r="D9">
        <v>18</v>
      </c>
      <c r="E9" t="s">
        <v>13</v>
      </c>
      <c r="F9" t="str">
        <f>VLOOKUP(E9,divisions!$A$1:$B$16,2,FALSE)</f>
        <v>Open</v>
      </c>
      <c r="G9" t="s">
        <v>23</v>
      </c>
      <c r="J9" t="str">
        <f t="shared" si="2"/>
        <v>var compOpenSalsaShinesDuets = new Competition { Id = Guid.NewGuid(), Location = location, Name = "Open Salsa Shines Duets", Category = divOpen.Categories.First(x=&gt;x.Caption=="Open Salsa Shines Duets"),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9" t="str">
        <f>E9 &amp;"."&amp; SUBSTITUTE(VLOOKUP(G9,categories!$A$1:$D$43,4,FALSE),"Caption = """, "Caption = """&amp;F9 &amp;" ")</f>
        <v>divOpen.Categories.Add(new Category{Caption = "Open Salsa Shines Duets",Requirements = "100% choreography",Id = Guid.NewGuid(),CreatedOn = DateTimeOffset.Now});</v>
      </c>
    </row>
    <row r="10" spans="1:28" ht="19.5" customHeight="1" x14ac:dyDescent="0.3">
      <c r="A10" s="6">
        <v>0.67708333333333504</v>
      </c>
      <c r="B10" t="str">
        <f t="shared" si="7"/>
        <v>Open Latin Shines Duets</v>
      </c>
      <c r="C10" t="str">
        <f t="shared" si="8"/>
        <v>compOpenLatinShinesDuets</v>
      </c>
      <c r="D10">
        <v>19</v>
      </c>
      <c r="E10" t="s">
        <v>13</v>
      </c>
      <c r="F10" t="str">
        <f>VLOOKUP(E10,divisions!$A$1:$B$16,2,FALSE)</f>
        <v>Open</v>
      </c>
      <c r="G10" t="s">
        <v>82</v>
      </c>
      <c r="J10" t="str">
        <f t="shared" si="2"/>
        <v>var compOpenLatinShinesDuets = new Competition { Id = Guid.NewGuid(), Location = location, Name = "Open Latin Shines Duets", Category = divOpen.Categories.First(x=&gt;x.Caption=="Open Latin Shines Duets"),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0" t="str">
        <f>E10 &amp;"."&amp; SUBSTITUTE(VLOOKUP(G10,categories!$A$1:$D$43,4,FALSE),"Caption = """, "Caption = """&amp;F10 &amp;" ")</f>
        <v>divOpen.Categories.Add(new Category{Caption = "Open Latin Shines Duets",Requirements = "100% choreography",Id = Guid.NewGuid(),CreatedOn = DateTimeOffset.Now});</v>
      </c>
    </row>
    <row r="11" spans="1:28" ht="19.5" customHeight="1" x14ac:dyDescent="0.3">
      <c r="A11" s="6">
        <v>0.67708333333333504</v>
      </c>
      <c r="B11" t="str">
        <f t="shared" si="7"/>
        <v>Amateur Salsa Couples</v>
      </c>
      <c r="C11" t="str">
        <f t="shared" si="8"/>
        <v>compAmateurSalsaCouples</v>
      </c>
      <c r="D11">
        <v>20</v>
      </c>
      <c r="E11" t="s">
        <v>7</v>
      </c>
      <c r="F11" t="str">
        <f>VLOOKUP(E11,divisions!$A$1:$B$16,2,FALSE)</f>
        <v>Amateur</v>
      </c>
      <c r="G11" t="s">
        <v>8</v>
      </c>
      <c r="J11" t="str">
        <f t="shared" si="2"/>
        <v>var compAmateurSalsaCouples = new Competition { Id = Guid.NewGuid(), Location = location, Name = "Amateur Salsa Couples", Category = divAmatuer.Categories.First(x=&gt;x.Caption=="Amateur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1" t="str">
        <f>E11 &amp;"."&amp; SUBSTITUTE(VLOOKUP(G11,categories!$A$1:$D$43,4,FALSE),"Caption = """, "Caption = """&amp;F11 &amp;" ")</f>
        <v>divAmatuer.Categories.Add(new Category{Caption = "Amateur Salsa Couples",Requirements = "100% choreography",Id = Guid.NewGuid(),CreatedOn = DateTimeOffset.Now});</v>
      </c>
    </row>
    <row r="12" spans="1:28" ht="19.5" customHeight="1" x14ac:dyDescent="0.3">
      <c r="A12" s="6">
        <v>0.67708333333333504</v>
      </c>
      <c r="B12" t="str">
        <f t="shared" si="7"/>
        <v>Professional Salsa Couples</v>
      </c>
      <c r="C12" t="str">
        <f t="shared" si="8"/>
        <v>compProfessionalSalsaCouples</v>
      </c>
      <c r="D12">
        <v>20</v>
      </c>
      <c r="E12" t="s">
        <v>12</v>
      </c>
      <c r="F12" t="str">
        <f>VLOOKUP(E12,divisions!$A$1:$B$16,2,FALSE)</f>
        <v>Professional</v>
      </c>
      <c r="G12" t="s">
        <v>8</v>
      </c>
      <c r="J12" t="str">
        <f t="shared" si="2"/>
        <v>var compProfessionalSalsaCouples = new Competition { Id = Guid.NewGuid(), Location = location, Name = "Professional Salsa Couples", Category = divProf.Categories.First(x=&gt;x.Caption=="Professional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2" t="str">
        <f>E12 &amp;"."&amp; SUBSTITUTE(VLOOKUP(G12,categories!$A$1:$D$43,4,FALSE),"Caption = """, "Caption = """&amp;F12 &amp;" ")</f>
        <v>divProf.Categories.Add(new Category{Caption = "Professional Salsa Couples",Requirements = "100% choreography",Id = Guid.NewGuid(),CreatedOn = DateTimeOffset.Now});</v>
      </c>
    </row>
    <row r="13" spans="1:28" ht="19.5" customHeight="1" x14ac:dyDescent="0.3">
      <c r="A13" s="6">
        <v>0.67708333333333504</v>
      </c>
      <c r="B13" t="str">
        <f t="shared" si="7"/>
        <v>Amateur Bachata Couples</v>
      </c>
      <c r="C13" t="str">
        <f t="shared" si="8"/>
        <v>compAmateurBachataCouples</v>
      </c>
      <c r="D13">
        <v>20</v>
      </c>
      <c r="E13" t="s">
        <v>7</v>
      </c>
      <c r="F13" t="str">
        <f>VLOOKUP(E13,divisions!$A$1:$B$16,2,FALSE)</f>
        <v>Amateur</v>
      </c>
      <c r="G13" t="s">
        <v>16</v>
      </c>
      <c r="J13" t="str">
        <f t="shared" si="2"/>
        <v>var compAmateurBachataCouples = new Competition { Id = Guid.NewGuid(), Location = location, Name = "Amateur Bachata Couples", Category = divAmatuer.Categories.First(x=&gt;x.Caption=="Amateur Bachata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3" t="str">
        <f>E13 &amp;"."&amp; SUBSTITUTE(VLOOKUP(G13,categories!$A$1:$D$43,4,FALSE),"Caption = """, "Caption = """&amp;F13 &amp;" ")</f>
        <v>divAmatuer.Categories.Add(new Category{Caption = "Amateur Bachata Couples",Requirements = "100% choreography",Id = Guid.NewGuid(),CreatedOn = DateTimeOffset.Now});</v>
      </c>
    </row>
    <row r="14" spans="1:28" ht="19.5" customHeight="1" x14ac:dyDescent="0.3">
      <c r="A14" s="6">
        <v>0.67708333333333504</v>
      </c>
      <c r="B14" t="str">
        <f t="shared" si="7"/>
        <v>Professional Bachata Couples</v>
      </c>
      <c r="C14" t="str">
        <f t="shared" si="8"/>
        <v>compProfessionalBachataCouples</v>
      </c>
      <c r="D14">
        <v>20</v>
      </c>
      <c r="E14" t="s">
        <v>12</v>
      </c>
      <c r="F14" t="str">
        <f>VLOOKUP(E14,divisions!$A$1:$B$16,2,FALSE)</f>
        <v>Professional</v>
      </c>
      <c r="G14" t="s">
        <v>16</v>
      </c>
      <c r="J14" t="str">
        <f t="shared" si="2"/>
        <v>var compProfessionalBachataCouples = new Competition { Id = Guid.NewGuid(), Location = location, Name = "Professional Bachata Couples", Category = divProf.Categories.First(x=&gt;x.Caption=="Professional Bachata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4" t="str">
        <f>E14 &amp;"."&amp; SUBSTITUTE(VLOOKUP(G14,categories!$A$1:$D$43,4,FALSE),"Caption = """, "Caption = """&amp;F14 &amp;" ")</f>
        <v>divProf.Categories.Add(new Category{Caption = "Professional Bachata Couples",Requirements = "100% choreography",Id = Guid.NewGuid(),CreatedOn = DateTimeOffset.Now});</v>
      </c>
    </row>
    <row r="15" spans="1:28" ht="19.5" customHeight="1" x14ac:dyDescent="0.3">
      <c r="A15" s="6">
        <v>0.67708333333333504</v>
      </c>
      <c r="B15" t="str">
        <f t="shared" si="7"/>
        <v>Pro_Am Salsa Couples Mixed</v>
      </c>
      <c r="C15" t="str">
        <f t="shared" si="8"/>
        <v>compPro_AmSalsaCouplesMixed</v>
      </c>
      <c r="D15">
        <v>20</v>
      </c>
      <c r="E15" t="s">
        <v>14</v>
      </c>
      <c r="F15" t="str">
        <f>VLOOKUP(E15,divisions!$A$1:$B$16,2,FALSE)</f>
        <v>Pro_Am</v>
      </c>
      <c r="G15" t="s">
        <v>109</v>
      </c>
      <c r="J15" t="str">
        <f t="shared" si="2"/>
        <v>var compPro_AmSalsaCouplesMixed = new Competition { Id = Guid.NewGuid(), Location = location, Name = "Pro_Am Salsa Couples Mixed", Category = divProAm.Categories.First(x=&gt;x.Caption=="Pro_Am Salsa Couples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5" t="str">
        <f>E15 &amp;"."&amp; SUBSTITUTE(VLOOKUP(G15,categories!$A$1:$D$43,4,FALSE),"Caption = """, "Caption = """&amp;F15 &amp;" ")</f>
        <v>divProAm.Categories.Add(new Category{Caption = "Pro_Am Salsa Couples Mixed",Requirements = "100% choreography",Id = Guid.NewGuid(),CreatedOn = DateTimeOffset.Now});</v>
      </c>
    </row>
    <row r="16" spans="1:28" ht="19.5" customHeight="1" x14ac:dyDescent="0.3">
      <c r="A16" s="6">
        <v>0.67708333333333504</v>
      </c>
      <c r="B16" t="str">
        <f t="shared" si="7"/>
        <v>Pro_Am Latin Couples Mixed</v>
      </c>
      <c r="C16" t="str">
        <f t="shared" si="8"/>
        <v>compPro_AmLatinCouplesMixed</v>
      </c>
      <c r="D16">
        <v>20</v>
      </c>
      <c r="E16" t="s">
        <v>14</v>
      </c>
      <c r="F16" t="str">
        <f>VLOOKUP(E16,divisions!$A$1:$B$16,2,FALSE)</f>
        <v>Pro_Am</v>
      </c>
      <c r="G16" t="s">
        <v>110</v>
      </c>
      <c r="J16" t="str">
        <f t="shared" si="2"/>
        <v>var compPro_AmLatinCouplesMixed = new Competition { Id = Guid.NewGuid(), Location = location, Name = "Pro_Am Latin Couples Mixed", Category = divProAm.Categories.First(x=&gt;x.Caption=="Pro_Am Latin Couples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6" t="str">
        <f>E16 &amp;"."&amp; SUBSTITUTE(VLOOKUP(G16,categories!$A$1:$D$43,4,FALSE),"Caption = """, "Caption = """&amp;F16 &amp;" ")</f>
        <v>divProAm.Categories.Add(new Category{Caption = "Pro_Am Latin Couples Mixed",Requirements = "100% choreography",Id = Guid.NewGuid(),CreatedOn = DateTimeOffset.Now});</v>
      </c>
    </row>
    <row r="17" spans="1:28" ht="19.5" customHeight="1" x14ac:dyDescent="0.3">
      <c r="A17" s="6">
        <v>0.67708333333333504</v>
      </c>
      <c r="B17" t="str">
        <f t="shared" si="7"/>
        <v>Masters Salsa Couples</v>
      </c>
      <c r="C17" t="str">
        <f t="shared" si="8"/>
        <v>compMastersSalsaCouples</v>
      </c>
      <c r="D17">
        <v>20</v>
      </c>
      <c r="E17" t="s">
        <v>105</v>
      </c>
      <c r="F17" t="str">
        <f>VLOOKUP(E17,divisions!$A$1:$B$16,2,FALSE)</f>
        <v>Masters</v>
      </c>
      <c r="G17" t="s">
        <v>8</v>
      </c>
      <c r="J17" t="str">
        <f t="shared" si="2"/>
        <v>var compMastersSalsaCouples = new Competition { Id = Guid.NewGuid(), Location = location, Name = "Masters Salsa Couples", Category = divMasters.Categories.First(x=&gt;x.Caption=="Masters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7" t="str">
        <f>E17 &amp;"."&amp; SUBSTITUTE(VLOOKUP(G17,categories!$A$1:$D$43,4,FALSE),"Caption = """, "Caption = """&amp;F17 &amp;" ")</f>
        <v>divMasters.Categories.Add(new Category{Caption = "Masters Salsa Couples",Requirements = "100% choreography",Id = Guid.NewGuid(),CreatedOn = DateTimeOffset.Now});</v>
      </c>
    </row>
    <row r="18" spans="1:28" ht="19.5" customHeight="1" x14ac:dyDescent="0.3">
      <c r="A18" s="6">
        <v>0.67708333333333504</v>
      </c>
      <c r="B18" t="str">
        <f t="shared" ref="B18:B19" si="9">F18 &amp; " " &amp; G18</f>
        <v>Masters Latin Couples</v>
      </c>
      <c r="C18" t="str">
        <f t="shared" ref="C18:C19" si="10">"comp" &amp;SUBSTITUTE(SUBSTITUTE(B18," ",""),"–","")</f>
        <v>compMastersLatinCouples</v>
      </c>
      <c r="D18">
        <v>20</v>
      </c>
      <c r="E18" t="s">
        <v>105</v>
      </c>
      <c r="F18" t="str">
        <f>VLOOKUP(E18,divisions!$A$1:$B$16,2,FALSE)</f>
        <v>Masters</v>
      </c>
      <c r="G18" t="s">
        <v>74</v>
      </c>
      <c r="J18" t="str">
        <f t="shared" si="2"/>
        <v>var compMastersLatinCouples = new Competition { Id = Guid.NewGuid(), Location = location, Name = "Masters Latin Couples", Category = divMasters.Categories.First(x=&gt;x.Caption=="Masters Latin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8" t="str">
        <f>E18 &amp;"."&amp; SUBSTITUTE(VLOOKUP(G18,categories!$A$1:$D$43,4,FALSE),"Caption = """, "Caption = """&amp;F18 &amp;" ")</f>
        <v>divMasters.Categories.Add(new Category{Caption = "Masters Latin Couples",Requirements = "100% choreography",Id = Guid.NewGuid(),CreatedOn = DateTimeOffset.Now});</v>
      </c>
    </row>
    <row r="19" spans="1:28" ht="19.5" customHeight="1" x14ac:dyDescent="0.3">
      <c r="A19" s="6">
        <v>0.67708333333333504</v>
      </c>
      <c r="B19" t="str">
        <f t="shared" si="9"/>
        <v>Amateur Salsa Teams</v>
      </c>
      <c r="C19" t="str">
        <f t="shared" si="10"/>
        <v>compAmateurSalsaTeams</v>
      </c>
      <c r="D19">
        <v>21</v>
      </c>
      <c r="E19" t="s">
        <v>7</v>
      </c>
      <c r="F19" t="str">
        <f>VLOOKUP(E19,divisions!$A$1:$B$16,2,FALSE)</f>
        <v>Amateur</v>
      </c>
      <c r="G19" t="s">
        <v>27</v>
      </c>
      <c r="J19" t="str">
        <f t="shared" si="2"/>
        <v>var compAmateurSalsaTeams = new Competition { Id = Guid.NewGuid(), Location = location, Name = "Amateur Salsa Teams", Category = divAmatuer.Categories.First(x=&gt;x.Caption=="Amateur Salsa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9" t="str">
        <f>E19 &amp;"."&amp; SUBSTITUTE(VLOOKUP(G19,categories!$A$1:$D$43,4,FALSE),"Caption = """, "Caption = """&amp;F19 &amp;" ")</f>
        <v>divAmatuer.Categories.Add(new Category{Caption = "Amateur Salsa Teams",Requirements = "100% choreography",Id = Guid.NewGuid(),CreatedOn = DateTimeOffset.Now});</v>
      </c>
    </row>
    <row r="20" spans="1:28" ht="19.5" customHeight="1" x14ac:dyDescent="0.3">
      <c r="A20" s="6">
        <v>0.67708333333333504</v>
      </c>
      <c r="B20" t="str">
        <f t="shared" ref="B20" si="11">F20 &amp; " " &amp; G20</f>
        <v>Open Salsa Teams</v>
      </c>
      <c r="C20" t="str">
        <f t="shared" ref="C20" si="12">"comp" &amp;SUBSTITUTE(SUBSTITUTE(B20," ",""),"–","")</f>
        <v>compOpenSalsaTeams</v>
      </c>
      <c r="D20">
        <v>22</v>
      </c>
      <c r="E20" t="s">
        <v>13</v>
      </c>
      <c r="F20" t="str">
        <f>VLOOKUP(E20,divisions!$A$1:$B$16,2,FALSE)</f>
        <v>Open</v>
      </c>
      <c r="G20" t="s">
        <v>27</v>
      </c>
      <c r="J20" t="str">
        <f t="shared" si="2"/>
        <v>var compOpenSalsaTeams = new Competition { Id = Guid.NewGuid(), Location = location, Name = "Open Salsa Teams", Category = divOpen.Categories.First(x=&gt;x.Caption=="Open Salsa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0" t="str">
        <f>E20 &amp;"."&amp; SUBSTITUTE(VLOOKUP(G20,categories!$A$1:$D$43,4,FALSE),"Caption = """, "Caption = """&amp;F20 &amp;" ")</f>
        <v>divOpen.Categories.Add(new Category{Caption = "Open Salsa Teams",Requirements = "100% choreography",Id = Guid.NewGuid(),CreatedOn = DateTimeOffset.Now});</v>
      </c>
    </row>
    <row r="21" spans="1:28" ht="19.5" customHeight="1" x14ac:dyDescent="0.3">
      <c r="A21" s="6">
        <v>0.67708333333333504</v>
      </c>
      <c r="B21" t="str">
        <f t="shared" ref="B21:B25" si="13">F21 &amp; " " &amp; G21</f>
        <v>Open Latin Teams</v>
      </c>
      <c r="C21" t="str">
        <f t="shared" ref="C21:C25" si="14">"comp" &amp;SUBSTITUTE(SUBSTITUTE(B21," ",""),"–","")</f>
        <v>compOpenLatinTeams</v>
      </c>
      <c r="D21">
        <v>23</v>
      </c>
      <c r="E21" t="s">
        <v>13</v>
      </c>
      <c r="F21" t="str">
        <f>VLOOKUP(E21,divisions!$A$1:$B$16,2,FALSE)</f>
        <v>Open</v>
      </c>
      <c r="G21" t="s">
        <v>20</v>
      </c>
      <c r="J21" t="str">
        <f t="shared" si="2"/>
        <v>var compOpenLatinTeams = new Competition { Id = Guid.NewGuid(), Location = location, Name = "Open Latin Teams", Category = divOpen.Categories.First(x=&gt;x.Caption=="Open Latin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1" t="str">
        <f>E21 &amp;"."&amp; SUBSTITUTE(VLOOKUP(G21,categories!$A$1:$D$43,4,FALSE),"Caption = """, "Caption = """&amp;F21 &amp;" ")</f>
        <v>divOpen.Categories.Add(new Category{Caption = "Open Latin Teams",Requirements = "100% choreography",Id = Guid.NewGuid(),CreatedOn = DateTimeOffset.Now});</v>
      </c>
    </row>
    <row r="22" spans="1:28" ht="20.399999999999999" customHeight="1" x14ac:dyDescent="0.3">
      <c r="A22" s="6">
        <v>0.67708333333333504</v>
      </c>
      <c r="B22" t="str">
        <f t="shared" ref="B22:B23" si="15">F22 &amp; " " &amp; G22</f>
        <v>Open Salsa Shines Teams</v>
      </c>
      <c r="C22" t="str">
        <f t="shared" ref="C22:C23" si="16">"comp" &amp;SUBSTITUTE(SUBSTITUTE(B22," ",""),"–","")</f>
        <v>compOpenSalsaShinesTeams</v>
      </c>
      <c r="D22">
        <v>24</v>
      </c>
      <c r="E22" t="s">
        <v>13</v>
      </c>
      <c r="F22" t="str">
        <f>VLOOKUP(E22,divisions!$A$1:$B$16,2,FALSE)</f>
        <v>Open</v>
      </c>
      <c r="G22" t="s">
        <v>24</v>
      </c>
      <c r="J22" t="str">
        <f t="shared" si="2"/>
        <v>var compOpenSalsaShinesTeams = new Competition { Id = Guid.NewGuid(), Location = location, Name = "Open Salsa Shines Teams", Category = divOpen.Categories.First(x=&gt;x.Caption=="Open Salsa Shines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2" t="str">
        <f>E22 &amp;"."&amp; SUBSTITUTE(VLOOKUP(G22,categories!$A$1:$D$43,4,FALSE),"Caption = """, "Caption = """&amp;F22 &amp;" ")</f>
        <v>divOpen.Categories.Add(new Category{Caption = "Open Salsa Shines Teams",Requirements = "100% choreography",Id = Guid.NewGuid(),CreatedOn = DateTimeOffset.Now});</v>
      </c>
    </row>
    <row r="23" spans="1:28" ht="19.5" customHeight="1" x14ac:dyDescent="0.3">
      <c r="A23" s="6">
        <v>0.67708333333333504</v>
      </c>
      <c r="B23" t="str">
        <f t="shared" si="15"/>
        <v>Open Latin Shines Teams</v>
      </c>
      <c r="C23" t="str">
        <f t="shared" si="16"/>
        <v>compOpenLatinShinesTeams</v>
      </c>
      <c r="D23">
        <v>25</v>
      </c>
      <c r="E23" t="s">
        <v>13</v>
      </c>
      <c r="F23" t="str">
        <f>VLOOKUP(E23,divisions!$A$1:$B$16,2,FALSE)</f>
        <v>Open</v>
      </c>
      <c r="G23" t="s">
        <v>19</v>
      </c>
      <c r="J23" t="str">
        <f t="shared" si="2"/>
        <v>var compOpenLatinShinesTeams = new Competition { Id = Guid.NewGuid(), Location = location, Name = "Open Latin Shines Teams", Category = divOpen.Categories.First(x=&gt;x.Caption=="Open Latin Shines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3" t="str">
        <f>E23 &amp;"."&amp; SUBSTITUTE(VLOOKUP(G23,categories!$A$1:$D$43,4,FALSE),"Caption = """, "Caption = """&amp;F23 &amp;" ")</f>
        <v>divOpen.Categories.Add(new Category{Caption = "Open Latin Shines Teams",Requirements = "100% choreography",Id = Guid.NewGuid(),CreatedOn = DateTimeOffset.Now});</v>
      </c>
    </row>
    <row r="24" spans="1:28" ht="20.399999999999999" customHeight="1" x14ac:dyDescent="0.3">
      <c r="A24" s="6">
        <v>0.67708333333333504</v>
      </c>
      <c r="B24" t="str">
        <f t="shared" si="13"/>
        <v>Open Showcase Teams</v>
      </c>
      <c r="C24" t="str">
        <f t="shared" si="14"/>
        <v>compOpenShowcaseTeams</v>
      </c>
      <c r="D24">
        <v>24</v>
      </c>
      <c r="E24" t="s">
        <v>13</v>
      </c>
      <c r="F24" t="str">
        <f>VLOOKUP(E24,divisions!$A$1:$B$16,2,FALSE)</f>
        <v>Open</v>
      </c>
      <c r="G24" t="s">
        <v>111</v>
      </c>
      <c r="J24" t="str">
        <f t="shared" si="2"/>
        <v>var compOpenShowcaseTeams = new Competition { Id = Guid.NewGuid(), Location = location, Name = "Open Showcase Teams", Category = divOpen.Categories.First(x=&gt;x.Caption=="Open Showcase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4" t="str">
        <f>E24 &amp;"."&amp; SUBSTITUTE(VLOOKUP(G24,categories!$A$1:$D$43,4,FALSE),"Caption = """, "Caption = """&amp;F24 &amp;" ")</f>
        <v>divOpen.Categories.Add(new Category{Caption = "Open Showcase Teams",Requirements = "100% choreography",Id = Guid.NewGuid(),CreatedOn = DateTimeOffset.Now});</v>
      </c>
    </row>
    <row r="25" spans="1:28" ht="19.5" customHeight="1" x14ac:dyDescent="0.3">
      <c r="A25" s="6">
        <v>0.67708333333333504</v>
      </c>
      <c r="B25" t="str">
        <f t="shared" si="13"/>
        <v>Masters Latin Teams Mixed</v>
      </c>
      <c r="C25" t="str">
        <f t="shared" si="14"/>
        <v>compMastersLatinTeamsMixed</v>
      </c>
      <c r="D25">
        <v>25</v>
      </c>
      <c r="E25" t="s">
        <v>105</v>
      </c>
      <c r="F25" t="str">
        <f>VLOOKUP(E25,divisions!$A$1:$B$16,2,FALSE)</f>
        <v>Masters</v>
      </c>
      <c r="G25" t="s">
        <v>112</v>
      </c>
      <c r="J25" t="str">
        <f t="shared" si="2"/>
        <v>var compMastersLatinTeamsMixed = new Competition { Id = Guid.NewGuid(), Location = location, Name = "Masters Latin Teams Mixed", Category = divMasters.Categories.First(x=&gt;x.Caption=="Masters Latin Teams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5" t="str">
        <f>E25 &amp;"."&amp; SUBSTITUTE(VLOOKUP(G25,categories!$A$1:$D$43,4,FALSE),"Caption = """, "Caption = """&amp;F25 &amp;" ")</f>
        <v>divMasters.Categories.Add(new Category{Caption = "Masters Latin Teams Mixed",Requirements = "100% choreography",Id = Guid.NewGuid(),CreatedOn = DateTimeOffset.Now});</v>
      </c>
    </row>
    <row r="27" spans="1:28" x14ac:dyDescent="0.3">
      <c r="A27" s="3" t="str">
        <f>"new List&lt;Competition&gt;{" &amp; csvRange(C:C) &amp; "}.ForEach(x=&gt;context.Competitions.Add(x));"</f>
        <v>new List&lt;Competition&gt;{compNoviceSalsaSoloFemale,compAmateurSalsaSolomale,compAmateurSalsaSoloFemale,compProfessionalSalsaSoloFemale,compProfessionalSalsaSoloMale,compOpenLatinSoloMixed,compMastersSalsaSoloMixed,compOpenSalsaShinesDuets,compOpenLatinShinesDuets,compAmateurSalsaCouples,compProfessionalSalsaCouples,compAmateurBachataCouples,compProfessionalBachataCouples,compPro_AmSalsaCouplesMixed,compPro_AmLatinCouplesMixed,compMastersSalsaCouples,compMastersLatinCouples,compAmateurSalsaTeams,compOpenSalsaTeams,compOpenLatinTeams,compOpenSalsaShinesTeams,compOpenLatinShinesTeams,compOpenShowcaseTeams,compMastersLatinTeamsMixed}.ForEach(x=&gt;context.Competitions.Add(x));</v>
      </c>
    </row>
    <row r="40" spans="5:5" x14ac:dyDescent="0.3">
      <c r="E40" t="b">
        <f>competitions!A27="new List&lt;Competitor&gt;{" &amp; B38 &amp; "}.ForEach(x=&gt;context.Competitors.Add(x));"</f>
        <v>0</v>
      </c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categories!$A$1:$A$43</xm:f>
          </x14:formula1>
          <xm:sqref>G2:H25</xm:sqref>
        </x14:dataValidation>
        <x14:dataValidation type="list" allowBlank="1" showInputMessage="1" showErrorMessage="1">
          <x14:formula1>
            <xm:f>divisions!$A$1:$A$15</xm:f>
          </x14:formula1>
          <xm:sqref>E2:E25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workbookViewId="0">
      <selection activeCell="B13" sqref="B13"/>
    </sheetView>
  </sheetViews>
  <sheetFormatPr defaultRowHeight="14.4" x14ac:dyDescent="0.3"/>
  <cols>
    <col min="1" max="1" width="58.88671875" bestFit="1" customWidth="1"/>
  </cols>
  <sheetData>
    <row r="1" spans="1:4" x14ac:dyDescent="0.3">
      <c r="A1" s="7" t="s">
        <v>94</v>
      </c>
    </row>
    <row r="2" spans="1:4" x14ac:dyDescent="0.3">
      <c r="A2" s="7" t="s">
        <v>95</v>
      </c>
    </row>
    <row r="3" spans="1:4" x14ac:dyDescent="0.3">
      <c r="A3" s="7" t="s">
        <v>96</v>
      </c>
    </row>
    <row r="4" spans="1:4" x14ac:dyDescent="0.3">
      <c r="A4" s="7" t="s">
        <v>97</v>
      </c>
    </row>
    <row r="5" spans="1:4" x14ac:dyDescent="0.3">
      <c r="A5" s="7" t="s">
        <v>93</v>
      </c>
    </row>
    <row r="6" spans="1:4" x14ac:dyDescent="0.3">
      <c r="A6" s="8" t="s">
        <v>98</v>
      </c>
    </row>
    <row r="8" spans="1:4" x14ac:dyDescent="0.3">
      <c r="A8">
        <v>1</v>
      </c>
      <c r="B8" t="s">
        <v>100</v>
      </c>
      <c r="C8" t="s">
        <v>38</v>
      </c>
      <c r="D8" t="s">
        <v>40</v>
      </c>
    </row>
    <row r="9" spans="1:4" x14ac:dyDescent="0.3">
      <c r="A9">
        <v>2</v>
      </c>
      <c r="B9" t="s">
        <v>45</v>
      </c>
      <c r="C9" t="s">
        <v>101</v>
      </c>
      <c r="D9" t="s">
        <v>40</v>
      </c>
    </row>
    <row r="10" spans="1:4" x14ac:dyDescent="0.3">
      <c r="A10">
        <v>3</v>
      </c>
      <c r="B10" t="s">
        <v>38</v>
      </c>
      <c r="C10" t="s">
        <v>101</v>
      </c>
      <c r="D10" t="s">
        <v>40</v>
      </c>
    </row>
    <row r="11" spans="1:4" x14ac:dyDescent="0.3">
      <c r="A11">
        <v>4</v>
      </c>
      <c r="B11" t="s">
        <v>100</v>
      </c>
      <c r="C11" t="s">
        <v>101</v>
      </c>
      <c r="D11" t="s">
        <v>45</v>
      </c>
    </row>
    <row r="12" spans="1:4" x14ac:dyDescent="0.3">
      <c r="A12">
        <v>5</v>
      </c>
      <c r="B12" t="s">
        <v>100</v>
      </c>
      <c r="C12" t="s">
        <v>45</v>
      </c>
      <c r="D12" t="s">
        <v>38</v>
      </c>
    </row>
    <row r="13" spans="1:4" x14ac:dyDescent="0.3">
      <c r="A13" t="s">
        <v>99</v>
      </c>
      <c r="B13" t="s">
        <v>46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20"/>
  <sheetViews>
    <sheetView topLeftCell="A19" zoomScale="70" zoomScaleNormal="70" workbookViewId="0">
      <selection activeCell="A33" sqref="A33:A45"/>
    </sheetView>
  </sheetViews>
  <sheetFormatPr defaultRowHeight="14.4" x14ac:dyDescent="0.3"/>
  <cols>
    <col min="1" max="1" width="86.88671875" customWidth="1"/>
  </cols>
  <sheetData>
    <row r="1" spans="1:1" x14ac:dyDescent="0.3">
      <c r="A1" s="9" t="s">
        <v>133</v>
      </c>
    </row>
    <row r="2" spans="1:1" x14ac:dyDescent="0.3">
      <c r="A2" s="10" t="s">
        <v>135</v>
      </c>
    </row>
    <row r="3" spans="1:1" x14ac:dyDescent="0.3">
      <c r="A3" s="9" t="s">
        <v>123</v>
      </c>
    </row>
    <row r="4" spans="1:1" x14ac:dyDescent="0.3">
      <c r="A4" s="9" t="s">
        <v>116</v>
      </c>
    </row>
    <row r="5" spans="1:1" x14ac:dyDescent="0.3">
      <c r="A5" s="9" t="s">
        <v>118</v>
      </c>
    </row>
    <row r="6" spans="1:1" x14ac:dyDescent="0.3">
      <c r="A6" s="9" t="s">
        <v>114</v>
      </c>
    </row>
    <row r="7" spans="1:1" x14ac:dyDescent="0.3">
      <c r="A7" s="9" t="s">
        <v>136</v>
      </c>
    </row>
    <row r="8" spans="1:1" x14ac:dyDescent="0.3">
      <c r="A8" s="9" t="s">
        <v>131</v>
      </c>
    </row>
    <row r="9" spans="1:1" x14ac:dyDescent="0.3">
      <c r="A9" s="9" t="s">
        <v>121</v>
      </c>
    </row>
    <row r="10" spans="1:1" x14ac:dyDescent="0.3">
      <c r="A10" s="9" t="s">
        <v>119</v>
      </c>
    </row>
    <row r="11" spans="1:1" x14ac:dyDescent="0.3">
      <c r="A11" s="9" t="s">
        <v>126</v>
      </c>
    </row>
    <row r="12" spans="1:1" x14ac:dyDescent="0.3">
      <c r="A12" s="9" t="s">
        <v>115</v>
      </c>
    </row>
    <row r="13" spans="1:1" x14ac:dyDescent="0.3">
      <c r="A13" s="9" t="s">
        <v>137</v>
      </c>
    </row>
    <row r="14" spans="1:1" x14ac:dyDescent="0.3">
      <c r="A14" s="9" t="s">
        <v>128</v>
      </c>
    </row>
    <row r="15" spans="1:1" x14ac:dyDescent="0.3">
      <c r="A15" s="9" t="s">
        <v>120</v>
      </c>
    </row>
    <row r="16" spans="1:1" x14ac:dyDescent="0.3">
      <c r="A16" s="9" t="s">
        <v>127</v>
      </c>
    </row>
    <row r="17" spans="1:1" x14ac:dyDescent="0.3">
      <c r="A17" s="9" t="s">
        <v>122</v>
      </c>
    </row>
    <row r="18" spans="1:1" x14ac:dyDescent="0.3">
      <c r="A18" s="9" t="s">
        <v>130</v>
      </c>
    </row>
    <row r="19" spans="1:1" x14ac:dyDescent="0.3">
      <c r="A19" s="9" t="s">
        <v>138</v>
      </c>
    </row>
    <row r="20" spans="1:1" x14ac:dyDescent="0.3">
      <c r="A20" s="9" t="s">
        <v>141</v>
      </c>
    </row>
    <row r="21" spans="1:1" x14ac:dyDescent="0.3">
      <c r="A21" s="9" t="s">
        <v>139</v>
      </c>
    </row>
    <row r="22" spans="1:1" x14ac:dyDescent="0.3">
      <c r="A22" s="9" t="s">
        <v>113</v>
      </c>
    </row>
    <row r="23" spans="1:1" x14ac:dyDescent="0.3">
      <c r="A23" s="9" t="s">
        <v>142</v>
      </c>
    </row>
    <row r="24" spans="1:1" x14ac:dyDescent="0.3">
      <c r="A24" s="9" t="s">
        <v>140</v>
      </c>
    </row>
    <row r="25" spans="1:1" x14ac:dyDescent="0.3">
      <c r="A25" s="9" t="s">
        <v>132</v>
      </c>
    </row>
    <row r="26" spans="1:1" x14ac:dyDescent="0.3">
      <c r="A26" s="9" t="s">
        <v>134</v>
      </c>
    </row>
    <row r="27" spans="1:1" x14ac:dyDescent="0.3">
      <c r="A27" s="9" t="s">
        <v>124</v>
      </c>
    </row>
    <row r="28" spans="1:1" x14ac:dyDescent="0.3">
      <c r="A28" s="9" t="s">
        <v>125</v>
      </c>
    </row>
    <row r="29" spans="1:1" x14ac:dyDescent="0.3">
      <c r="A29" s="9" t="s">
        <v>143</v>
      </c>
    </row>
    <row r="30" spans="1:1" x14ac:dyDescent="0.3">
      <c r="A30" s="9" t="s">
        <v>129</v>
      </c>
    </row>
    <row r="31" spans="1:1" x14ac:dyDescent="0.3">
      <c r="A31" s="9" t="s">
        <v>117</v>
      </c>
    </row>
    <row r="33" spans="1:1" x14ac:dyDescent="0.3">
      <c r="A33" s="9" t="s">
        <v>144</v>
      </c>
    </row>
    <row r="34" spans="1:1" x14ac:dyDescent="0.3">
      <c r="A34" s="9" t="s">
        <v>145</v>
      </c>
    </row>
    <row r="35" spans="1:1" x14ac:dyDescent="0.3">
      <c r="A35" s="9" t="s">
        <v>146</v>
      </c>
    </row>
    <row r="36" spans="1:1" x14ac:dyDescent="0.3">
      <c r="A36" s="9" t="s">
        <v>147</v>
      </c>
    </row>
    <row r="37" spans="1:1" x14ac:dyDescent="0.3">
      <c r="A37" s="9" t="s">
        <v>148</v>
      </c>
    </row>
    <row r="38" spans="1:1" x14ac:dyDescent="0.3">
      <c r="A38" s="9" t="s">
        <v>149</v>
      </c>
    </row>
    <row r="39" spans="1:1" x14ac:dyDescent="0.3">
      <c r="A39" s="9" t="s">
        <v>150</v>
      </c>
    </row>
    <row r="40" spans="1:1" x14ac:dyDescent="0.3">
      <c r="A40" s="9" t="s">
        <v>151</v>
      </c>
    </row>
    <row r="41" spans="1:1" x14ac:dyDescent="0.3">
      <c r="A41" s="9" t="s">
        <v>152</v>
      </c>
    </row>
    <row r="42" spans="1:1" x14ac:dyDescent="0.3">
      <c r="A42" s="9" t="s">
        <v>153</v>
      </c>
    </row>
    <row r="43" spans="1:1" x14ac:dyDescent="0.3">
      <c r="A43" s="9" t="s">
        <v>154</v>
      </c>
    </row>
    <row r="44" spans="1:1" x14ac:dyDescent="0.3">
      <c r="A44" s="9" t="s">
        <v>155</v>
      </c>
    </row>
    <row r="45" spans="1:1" x14ac:dyDescent="0.3">
      <c r="A45" s="9" t="s">
        <v>156</v>
      </c>
    </row>
    <row r="47" spans="1:1" x14ac:dyDescent="0.3">
      <c r="A47" s="3"/>
    </row>
    <row r="51" spans="1:1" x14ac:dyDescent="0.3">
      <c r="A51" s="5"/>
    </row>
    <row r="53" spans="1:1" x14ac:dyDescent="0.3">
      <c r="A53" s="3"/>
    </row>
    <row r="61" spans="1:1" x14ac:dyDescent="0.3">
      <c r="A61" s="3"/>
    </row>
    <row r="65" spans="1:1" x14ac:dyDescent="0.3">
      <c r="A65" s="3"/>
    </row>
    <row r="69" spans="1:1" x14ac:dyDescent="0.3">
      <c r="A69" s="3"/>
    </row>
    <row r="77" spans="1:1" x14ac:dyDescent="0.3">
      <c r="A77" s="3"/>
    </row>
    <row r="81" spans="1:1" x14ac:dyDescent="0.3">
      <c r="A81" s="3"/>
    </row>
    <row r="85" spans="1:1" x14ac:dyDescent="0.3">
      <c r="A85" s="5"/>
    </row>
    <row r="87" spans="1:1" x14ac:dyDescent="0.3">
      <c r="A87" s="3"/>
    </row>
    <row r="91" spans="1:1" x14ac:dyDescent="0.3">
      <c r="A91" s="3"/>
    </row>
    <row r="94" spans="1:1" x14ac:dyDescent="0.3">
      <c r="A94" s="4"/>
    </row>
    <row r="96" spans="1:1" x14ac:dyDescent="0.3">
      <c r="A96" s="3"/>
    </row>
    <row r="98" spans="1:1" x14ac:dyDescent="0.3">
      <c r="A98" s="3"/>
    </row>
    <row r="102" spans="1:1" x14ac:dyDescent="0.3">
      <c r="A102" s="3"/>
    </row>
    <row r="106" spans="1:1" x14ac:dyDescent="0.3">
      <c r="A106" s="3"/>
    </row>
    <row r="110" spans="1:1" x14ac:dyDescent="0.3">
      <c r="A110" s="3"/>
    </row>
    <row r="112" spans="1:1" x14ac:dyDescent="0.3">
      <c r="A112" s="3"/>
    </row>
    <row r="120" spans="1:1" x14ac:dyDescent="0.3">
      <c r="A120" s="3"/>
    </row>
  </sheetData>
  <sortState ref="A1:A150">
    <sortCondition ref="A1:A15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8"/>
  <sheetViews>
    <sheetView topLeftCell="A10" workbookViewId="0">
      <selection activeCell="K7" sqref="K7"/>
    </sheetView>
  </sheetViews>
  <sheetFormatPr defaultRowHeight="14.4" x14ac:dyDescent="0.3"/>
  <sheetData>
    <row r="1" spans="1:10" x14ac:dyDescent="0.3">
      <c r="A1" t="s">
        <v>42</v>
      </c>
    </row>
    <row r="2" spans="1:10" x14ac:dyDescent="0.3">
      <c r="D2" t="s">
        <v>53</v>
      </c>
      <c r="E2" t="s">
        <v>52</v>
      </c>
      <c r="F2" t="s">
        <v>51</v>
      </c>
      <c r="G2" t="s">
        <v>50</v>
      </c>
      <c r="H2" t="s">
        <v>49</v>
      </c>
      <c r="I2" t="s">
        <v>47</v>
      </c>
      <c r="J2" t="s">
        <v>48</v>
      </c>
    </row>
    <row r="3" spans="1:10" x14ac:dyDescent="0.3">
      <c r="C3" t="s">
        <v>39</v>
      </c>
      <c r="D3">
        <v>17.5</v>
      </c>
      <c r="E3">
        <v>17</v>
      </c>
      <c r="G3">
        <v>17.5</v>
      </c>
      <c r="H3">
        <v>18</v>
      </c>
      <c r="I3">
        <f>SUM(D3:H3)</f>
        <v>70</v>
      </c>
      <c r="J3">
        <f>I3/4</f>
        <v>17.5</v>
      </c>
    </row>
    <row r="4" spans="1:10" x14ac:dyDescent="0.3">
      <c r="C4" t="s">
        <v>45</v>
      </c>
      <c r="E4">
        <v>18.5</v>
      </c>
      <c r="F4">
        <v>18</v>
      </c>
      <c r="H4">
        <v>18</v>
      </c>
      <c r="I4">
        <f t="shared" ref="I4:I6" si="0">SUM(D4:H4)</f>
        <v>54.5</v>
      </c>
      <c r="J4">
        <f>I4/3</f>
        <v>18.166666666666668</v>
      </c>
    </row>
    <row r="5" spans="1:10" x14ac:dyDescent="0.3">
      <c r="C5" t="s">
        <v>40</v>
      </c>
      <c r="D5">
        <v>18</v>
      </c>
      <c r="F5">
        <v>17</v>
      </c>
      <c r="I5">
        <f t="shared" si="0"/>
        <v>35</v>
      </c>
      <c r="J5">
        <f>I5/2</f>
        <v>17.5</v>
      </c>
    </row>
    <row r="6" spans="1:10" x14ac:dyDescent="0.3">
      <c r="C6" t="s">
        <v>38</v>
      </c>
      <c r="E6">
        <v>18</v>
      </c>
      <c r="F6">
        <v>18.5</v>
      </c>
      <c r="G6">
        <v>18</v>
      </c>
      <c r="I6">
        <f t="shared" si="0"/>
        <v>54.5</v>
      </c>
      <c r="J6">
        <f>I6/3</f>
        <v>18.166666666666668</v>
      </c>
    </row>
    <row r="7" spans="1:10" x14ac:dyDescent="0.3">
      <c r="C7" t="s">
        <v>41</v>
      </c>
      <c r="D7">
        <v>18</v>
      </c>
      <c r="G7">
        <v>18</v>
      </c>
      <c r="H7">
        <v>17</v>
      </c>
      <c r="I7">
        <f>SUM(D7:H7)</f>
        <v>53</v>
      </c>
      <c r="J7">
        <f>I7/3</f>
        <v>17.666666666666668</v>
      </c>
    </row>
    <row r="8" spans="1:10" x14ac:dyDescent="0.3">
      <c r="C8" t="s">
        <v>46</v>
      </c>
      <c r="J8">
        <f>SUM(J3:J7)</f>
        <v>89.000000000000014</v>
      </c>
    </row>
    <row r="13" spans="1:10" x14ac:dyDescent="0.3">
      <c r="A13" s="1" t="s">
        <v>43</v>
      </c>
      <c r="B13" s="1"/>
      <c r="C13" s="1" t="s">
        <v>9</v>
      </c>
    </row>
    <row r="14" spans="1:10" x14ac:dyDescent="0.3">
      <c r="D14" t="s">
        <v>53</v>
      </c>
      <c r="E14" t="s">
        <v>52</v>
      </c>
      <c r="F14" t="s">
        <v>51</v>
      </c>
      <c r="G14" t="s">
        <v>50</v>
      </c>
      <c r="H14" t="s">
        <v>49</v>
      </c>
      <c r="I14" t="s">
        <v>47</v>
      </c>
      <c r="J14" t="s">
        <v>48</v>
      </c>
    </row>
    <row r="15" spans="1:10" x14ac:dyDescent="0.3">
      <c r="C15" t="s">
        <v>39</v>
      </c>
      <c r="D15">
        <v>15</v>
      </c>
      <c r="E15">
        <v>14</v>
      </c>
      <c r="G15">
        <v>15</v>
      </c>
      <c r="H15">
        <v>15.5</v>
      </c>
      <c r="I15">
        <f>SUM(D15:H15)</f>
        <v>59.5</v>
      </c>
      <c r="J15">
        <f>I15/4</f>
        <v>14.875</v>
      </c>
    </row>
    <row r="16" spans="1:10" x14ac:dyDescent="0.3">
      <c r="C16" t="s">
        <v>45</v>
      </c>
      <c r="E16">
        <v>13</v>
      </c>
      <c r="F16">
        <v>14</v>
      </c>
      <c r="H16">
        <v>15</v>
      </c>
      <c r="I16">
        <f t="shared" ref="I16:I18" si="1">SUM(D16:H16)</f>
        <v>42</v>
      </c>
      <c r="J16">
        <f>I16/3</f>
        <v>14</v>
      </c>
    </row>
    <row r="17" spans="1:11" x14ac:dyDescent="0.3">
      <c r="C17" t="s">
        <v>40</v>
      </c>
      <c r="D17">
        <v>15.5</v>
      </c>
      <c r="F17">
        <v>14</v>
      </c>
      <c r="I17">
        <f t="shared" si="1"/>
        <v>29.5</v>
      </c>
      <c r="J17">
        <f>I17/2</f>
        <v>14.75</v>
      </c>
    </row>
    <row r="18" spans="1:11" x14ac:dyDescent="0.3">
      <c r="C18" t="s">
        <v>38</v>
      </c>
      <c r="E18">
        <v>14</v>
      </c>
      <c r="F18">
        <v>15</v>
      </c>
      <c r="G18">
        <v>16</v>
      </c>
      <c r="I18">
        <f t="shared" si="1"/>
        <v>45</v>
      </c>
      <c r="J18">
        <f>I18/3</f>
        <v>15</v>
      </c>
    </row>
    <row r="19" spans="1:11" x14ac:dyDescent="0.3">
      <c r="C19" t="s">
        <v>41</v>
      </c>
      <c r="D19">
        <v>15.5</v>
      </c>
      <c r="G19">
        <v>17</v>
      </c>
      <c r="H19">
        <v>15</v>
      </c>
      <c r="I19">
        <f>SUM(D19:H19)</f>
        <v>47.5</v>
      </c>
      <c r="J19">
        <f>I19/3</f>
        <v>15.833333333333334</v>
      </c>
    </row>
    <row r="20" spans="1:11" x14ac:dyDescent="0.3">
      <c r="D20">
        <v>-1</v>
      </c>
      <c r="J20">
        <f>SUM(J15:J19)</f>
        <v>74.458333333333329</v>
      </c>
      <c r="K20">
        <f>J20+D20</f>
        <v>73.458333333333329</v>
      </c>
    </row>
    <row r="21" spans="1:11" x14ac:dyDescent="0.3">
      <c r="A21" s="1" t="s">
        <v>44</v>
      </c>
      <c r="B21" s="1"/>
      <c r="C21" s="2" t="s">
        <v>37</v>
      </c>
    </row>
    <row r="22" spans="1:11" x14ac:dyDescent="0.3">
      <c r="D22" t="s">
        <v>53</v>
      </c>
      <c r="E22" t="s">
        <v>52</v>
      </c>
      <c r="F22" t="s">
        <v>51</v>
      </c>
      <c r="G22" t="s">
        <v>50</v>
      </c>
      <c r="H22" t="s">
        <v>49</v>
      </c>
      <c r="I22" t="s">
        <v>47</v>
      </c>
      <c r="J22" t="s">
        <v>48</v>
      </c>
    </row>
    <row r="23" spans="1:11" x14ac:dyDescent="0.3">
      <c r="C23" t="s">
        <v>39</v>
      </c>
      <c r="E23">
        <v>15</v>
      </c>
      <c r="G23">
        <v>16.5</v>
      </c>
      <c r="H23">
        <v>16</v>
      </c>
      <c r="I23">
        <f>SUM(D23:H23)</f>
        <v>47.5</v>
      </c>
      <c r="J23">
        <f>I23/4</f>
        <v>11.875</v>
      </c>
    </row>
    <row r="24" spans="1:11" x14ac:dyDescent="0.3">
      <c r="C24" t="s">
        <v>45</v>
      </c>
      <c r="D24">
        <v>15</v>
      </c>
      <c r="E24">
        <v>14</v>
      </c>
      <c r="F24">
        <v>17</v>
      </c>
      <c r="H24">
        <v>16</v>
      </c>
      <c r="I24">
        <f t="shared" ref="I24:I26" si="2">SUM(D24:H24)</f>
        <v>62</v>
      </c>
      <c r="J24">
        <f>I24/3</f>
        <v>20.666666666666668</v>
      </c>
    </row>
    <row r="25" spans="1:11" x14ac:dyDescent="0.3">
      <c r="C25" t="s">
        <v>40</v>
      </c>
      <c r="D25">
        <v>15.5</v>
      </c>
      <c r="F25">
        <v>16</v>
      </c>
      <c r="I25">
        <f t="shared" si="2"/>
        <v>31.5</v>
      </c>
      <c r="J25">
        <f>I25/2</f>
        <v>15.75</v>
      </c>
    </row>
    <row r="26" spans="1:11" x14ac:dyDescent="0.3">
      <c r="C26" t="s">
        <v>38</v>
      </c>
      <c r="E26">
        <v>14</v>
      </c>
      <c r="F26">
        <v>17.5</v>
      </c>
      <c r="G26">
        <v>17</v>
      </c>
      <c r="I26">
        <f t="shared" si="2"/>
        <v>48.5</v>
      </c>
      <c r="J26">
        <f>I26/3</f>
        <v>16.166666666666668</v>
      </c>
    </row>
    <row r="27" spans="1:11" x14ac:dyDescent="0.3">
      <c r="C27" t="s">
        <v>41</v>
      </c>
      <c r="D27">
        <v>15.5</v>
      </c>
      <c r="G27">
        <v>16</v>
      </c>
      <c r="H27">
        <v>16</v>
      </c>
      <c r="I27">
        <f>SUM(D27:H27)</f>
        <v>47.5</v>
      </c>
      <c r="J27">
        <f>I27/3</f>
        <v>15.833333333333334</v>
      </c>
    </row>
    <row r="28" spans="1:11" x14ac:dyDescent="0.3">
      <c r="J28">
        <f>SUM(J23:J27)</f>
        <v>80.291666666666671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7"/>
  <sheetViews>
    <sheetView workbookViewId="0">
      <selection activeCell="C1" sqref="C1"/>
    </sheetView>
  </sheetViews>
  <sheetFormatPr defaultRowHeight="14.4" x14ac:dyDescent="0.3"/>
  <cols>
    <col min="1" max="1" width="29.88671875" bestFit="1" customWidth="1"/>
    <col min="2" max="2" width="91.33203125" bestFit="1" customWidth="1"/>
    <col min="3" max="3" width="11.88671875" customWidth="1"/>
    <col min="4" max="4" width="13.33203125" customWidth="1"/>
    <col min="5" max="5" width="15.109375" customWidth="1"/>
  </cols>
  <sheetData>
    <row r="1" spans="1:3" ht="15.6" x14ac:dyDescent="0.3">
      <c r="A1" s="11" t="s">
        <v>196</v>
      </c>
      <c r="B1" s="11"/>
      <c r="C1" s="11" t="s">
        <v>195</v>
      </c>
    </row>
    <row r="2" spans="1:3" ht="15.6" x14ac:dyDescent="0.3">
      <c r="A2" s="11" t="s">
        <v>170</v>
      </c>
      <c r="B2" s="11" t="s">
        <v>124</v>
      </c>
      <c r="C2" s="11"/>
    </row>
    <row r="3" spans="1:3" ht="15.6" x14ac:dyDescent="0.3">
      <c r="A3" s="11" t="s">
        <v>171</v>
      </c>
      <c r="B3" s="11" t="s">
        <v>141</v>
      </c>
      <c r="C3" s="11"/>
    </row>
    <row r="4" spans="1:3" ht="15.6" x14ac:dyDescent="0.3">
      <c r="A4" s="11" t="s">
        <v>172</v>
      </c>
      <c r="B4" s="11" t="s">
        <v>139</v>
      </c>
      <c r="C4" s="11"/>
    </row>
    <row r="5" spans="1:3" ht="15.6" x14ac:dyDescent="0.3">
      <c r="A5" s="11" t="s">
        <v>172</v>
      </c>
      <c r="B5" s="11" t="s">
        <v>113</v>
      </c>
      <c r="C5" s="11"/>
    </row>
    <row r="6" spans="1:3" ht="15.6" x14ac:dyDescent="0.3">
      <c r="A6" s="11" t="s">
        <v>172</v>
      </c>
      <c r="B6" s="11" t="s">
        <v>114</v>
      </c>
      <c r="C6" s="11"/>
    </row>
    <row r="7" spans="1:3" ht="15.6" x14ac:dyDescent="0.3">
      <c r="A7" s="11" t="s">
        <v>172</v>
      </c>
      <c r="B7" s="11" t="s">
        <v>115</v>
      </c>
      <c r="C7" s="11"/>
    </row>
    <row r="8" spans="1:3" ht="15.6" x14ac:dyDescent="0.3">
      <c r="A8" s="11" t="s">
        <v>173</v>
      </c>
      <c r="B8" s="11" t="s">
        <v>143</v>
      </c>
      <c r="C8" s="11"/>
    </row>
    <row r="9" spans="1:3" ht="15.6" x14ac:dyDescent="0.3">
      <c r="A9" s="11" t="s">
        <v>174</v>
      </c>
      <c r="B9" s="11" t="s">
        <v>116</v>
      </c>
      <c r="C9" s="11"/>
    </row>
    <row r="10" spans="1:3" ht="15.6" x14ac:dyDescent="0.3">
      <c r="A10" s="11" t="s">
        <v>174</v>
      </c>
      <c r="B10" s="11" t="s">
        <v>117</v>
      </c>
      <c r="C10" s="11"/>
    </row>
    <row r="11" spans="1:3" ht="15.6" x14ac:dyDescent="0.3">
      <c r="A11" s="11" t="s">
        <v>174</v>
      </c>
      <c r="B11" s="11" t="s">
        <v>118</v>
      </c>
      <c r="C11" s="11"/>
    </row>
    <row r="12" spans="1:3" ht="15.6" x14ac:dyDescent="0.3">
      <c r="A12" s="11" t="s">
        <v>175</v>
      </c>
      <c r="B12" s="11" t="s">
        <v>119</v>
      </c>
      <c r="C12" s="11"/>
    </row>
    <row r="13" spans="1:3" ht="15.6" x14ac:dyDescent="0.3">
      <c r="A13" s="11" t="s">
        <v>175</v>
      </c>
      <c r="B13" s="11" t="s">
        <v>130</v>
      </c>
      <c r="C13" s="11"/>
    </row>
    <row r="14" spans="1:3" ht="15.6" x14ac:dyDescent="0.3">
      <c r="A14" s="11" t="s">
        <v>176</v>
      </c>
      <c r="B14" s="11" t="s">
        <v>120</v>
      </c>
      <c r="C14" s="11"/>
    </row>
    <row r="15" spans="1:3" ht="15.6" x14ac:dyDescent="0.3">
      <c r="A15" s="11" t="s">
        <v>176</v>
      </c>
      <c r="B15" s="11" t="s">
        <v>121</v>
      </c>
      <c r="C15" s="11"/>
    </row>
    <row r="16" spans="1:3" ht="15.6" x14ac:dyDescent="0.3">
      <c r="A16" s="11" t="s">
        <v>176</v>
      </c>
      <c r="B16" s="11" t="s">
        <v>122</v>
      </c>
      <c r="C16" s="11"/>
    </row>
    <row r="17" spans="1:3" ht="15.6" x14ac:dyDescent="0.3">
      <c r="A17" s="11" t="s">
        <v>177</v>
      </c>
      <c r="B17" s="11" t="s">
        <v>138</v>
      </c>
      <c r="C17" s="11"/>
    </row>
    <row r="18" spans="1:3" ht="15.6" x14ac:dyDescent="0.3">
      <c r="A18" s="11" t="s">
        <v>178</v>
      </c>
      <c r="B18" s="11" t="s">
        <v>137</v>
      </c>
      <c r="C18" s="11"/>
    </row>
    <row r="19" spans="1:3" ht="15.6" x14ac:dyDescent="0.3">
      <c r="A19" s="11" t="s">
        <v>178</v>
      </c>
      <c r="B19" s="11" t="s">
        <v>123</v>
      </c>
      <c r="C19" s="11"/>
    </row>
    <row r="20" spans="1:3" ht="15.6" x14ac:dyDescent="0.3">
      <c r="A20" s="11" t="s">
        <v>179</v>
      </c>
      <c r="B20" s="11" t="s">
        <v>135</v>
      </c>
      <c r="C20" s="11"/>
    </row>
    <row r="21" spans="1:3" ht="15.6" x14ac:dyDescent="0.3">
      <c r="A21" s="11" t="s">
        <v>180</v>
      </c>
      <c r="B21" s="11" t="s">
        <v>125</v>
      </c>
      <c r="C21" s="11"/>
    </row>
    <row r="22" spans="1:3" ht="15.6" x14ac:dyDescent="0.3">
      <c r="A22" s="11" t="s">
        <v>181</v>
      </c>
      <c r="B22" s="11" t="s">
        <v>135</v>
      </c>
      <c r="C22" s="11"/>
    </row>
    <row r="23" spans="1:3" ht="15.6" x14ac:dyDescent="0.3">
      <c r="A23" s="11" t="s">
        <v>182</v>
      </c>
      <c r="B23" s="11" t="s">
        <v>136</v>
      </c>
      <c r="C23" s="11"/>
    </row>
    <row r="24" spans="1:3" ht="15.6" x14ac:dyDescent="0.3">
      <c r="A24" s="11" t="s">
        <v>183</v>
      </c>
      <c r="B24" s="11" t="s">
        <v>140</v>
      </c>
      <c r="C24" s="11"/>
    </row>
    <row r="25" spans="1:3" ht="15.6" x14ac:dyDescent="0.3">
      <c r="A25" s="11" t="s">
        <v>183</v>
      </c>
      <c r="B25" s="11" t="s">
        <v>134</v>
      </c>
      <c r="C25" s="11"/>
    </row>
    <row r="26" spans="1:3" ht="15.6" x14ac:dyDescent="0.3">
      <c r="A26" s="11" t="s">
        <v>184</v>
      </c>
      <c r="B26" s="11" t="s">
        <v>131</v>
      </c>
      <c r="C26" s="11"/>
    </row>
    <row r="27" spans="1:3" ht="15.6" x14ac:dyDescent="0.3">
      <c r="A27" s="11" t="s">
        <v>184</v>
      </c>
      <c r="B27" s="11" t="s">
        <v>133</v>
      </c>
      <c r="C27" s="11"/>
    </row>
    <row r="28" spans="1:3" ht="15.6" x14ac:dyDescent="0.3">
      <c r="A28" s="11" t="s">
        <v>184</v>
      </c>
      <c r="B28" s="11" t="s">
        <v>129</v>
      </c>
      <c r="C28" s="11"/>
    </row>
    <row r="29" spans="1:3" ht="15.6" x14ac:dyDescent="0.3">
      <c r="A29" s="11" t="s">
        <v>184</v>
      </c>
      <c r="B29" s="11" t="s">
        <v>132</v>
      </c>
      <c r="C29" s="11"/>
    </row>
    <row r="30" spans="1:3" ht="15.6" x14ac:dyDescent="0.3">
      <c r="A30" s="11" t="s">
        <v>185</v>
      </c>
      <c r="B30" s="11" t="s">
        <v>136</v>
      </c>
      <c r="C30" s="11"/>
    </row>
    <row r="31" spans="1:3" ht="15.6" x14ac:dyDescent="0.3">
      <c r="A31" s="11" t="s">
        <v>185</v>
      </c>
      <c r="B31" s="11" t="s">
        <v>127</v>
      </c>
      <c r="C31" s="11"/>
    </row>
    <row r="32" spans="1:3" ht="15.6" x14ac:dyDescent="0.3">
      <c r="A32" s="11" t="s">
        <v>185</v>
      </c>
      <c r="B32" s="11" t="s">
        <v>128</v>
      </c>
      <c r="C32" s="11"/>
    </row>
    <row r="33" spans="1:3" ht="15.6" x14ac:dyDescent="0.3">
      <c r="A33" s="11" t="s">
        <v>185</v>
      </c>
      <c r="B33" s="11" t="s">
        <v>142</v>
      </c>
      <c r="C33" s="11"/>
    </row>
    <row r="34" spans="1:3" ht="15.6" x14ac:dyDescent="0.3">
      <c r="A34" s="11" t="s">
        <v>186</v>
      </c>
      <c r="B34" s="11" t="s">
        <v>187</v>
      </c>
      <c r="C34" s="11"/>
    </row>
    <row r="35" spans="1:3" ht="15.6" x14ac:dyDescent="0.3">
      <c r="A35" s="11" t="s">
        <v>188</v>
      </c>
      <c r="B35" s="11" t="s">
        <v>157</v>
      </c>
      <c r="C35" s="11"/>
    </row>
    <row r="36" spans="1:3" ht="15.6" x14ac:dyDescent="0.3">
      <c r="A36" s="11" t="s">
        <v>188</v>
      </c>
      <c r="B36" s="11" t="s">
        <v>158</v>
      </c>
      <c r="C36" s="11"/>
    </row>
    <row r="37" spans="1:3" ht="15.6" x14ac:dyDescent="0.3">
      <c r="A37" s="11" t="s">
        <v>189</v>
      </c>
      <c r="B37" s="11" t="s">
        <v>159</v>
      </c>
      <c r="C37" s="11"/>
    </row>
    <row r="38" spans="1:3" ht="15.6" x14ac:dyDescent="0.3">
      <c r="A38" s="11" t="s">
        <v>189</v>
      </c>
      <c r="B38" s="11" t="s">
        <v>160</v>
      </c>
      <c r="C38" s="11"/>
    </row>
    <row r="39" spans="1:3" ht="15.6" x14ac:dyDescent="0.3">
      <c r="A39" s="11" t="s">
        <v>189</v>
      </c>
      <c r="B39" s="11" t="s">
        <v>161</v>
      </c>
      <c r="C39" s="11"/>
    </row>
    <row r="40" spans="1:3" ht="15.6" x14ac:dyDescent="0.3">
      <c r="A40" s="11" t="s">
        <v>190</v>
      </c>
      <c r="B40" s="11" t="s">
        <v>162</v>
      </c>
      <c r="C40" s="11"/>
    </row>
    <row r="41" spans="1:3" ht="15.6" x14ac:dyDescent="0.3">
      <c r="A41" s="11" t="s">
        <v>191</v>
      </c>
      <c r="B41" s="11" t="s">
        <v>163</v>
      </c>
      <c r="C41" s="11"/>
    </row>
    <row r="42" spans="1:3" ht="15.6" x14ac:dyDescent="0.3">
      <c r="A42" s="11" t="s">
        <v>192</v>
      </c>
      <c r="B42" s="11" t="s">
        <v>164</v>
      </c>
      <c r="C42" s="11"/>
    </row>
    <row r="43" spans="1:3" ht="15.6" x14ac:dyDescent="0.3">
      <c r="A43" s="11" t="s">
        <v>192</v>
      </c>
      <c r="B43" s="11" t="s">
        <v>165</v>
      </c>
      <c r="C43" s="11"/>
    </row>
    <row r="44" spans="1:3" ht="15.6" x14ac:dyDescent="0.3">
      <c r="A44" s="11" t="s">
        <v>192</v>
      </c>
      <c r="B44" s="11" t="s">
        <v>166</v>
      </c>
      <c r="C44" s="11"/>
    </row>
    <row r="45" spans="1:3" ht="15.6" x14ac:dyDescent="0.3">
      <c r="A45" s="11" t="s">
        <v>193</v>
      </c>
      <c r="B45" s="11" t="s">
        <v>167</v>
      </c>
      <c r="C45" s="11"/>
    </row>
    <row r="46" spans="1:3" ht="15.6" x14ac:dyDescent="0.3">
      <c r="A46" s="11" t="s">
        <v>193</v>
      </c>
      <c r="B46" s="11" t="s">
        <v>169</v>
      </c>
      <c r="C46" s="11"/>
    </row>
    <row r="47" spans="1:3" ht="15.6" x14ac:dyDescent="0.3">
      <c r="A47" s="11" t="s">
        <v>194</v>
      </c>
      <c r="B47" s="11" t="s">
        <v>168</v>
      </c>
      <c r="C47" s="11"/>
    </row>
  </sheetData>
  <pageMargins left="0.7" right="0.7" top="0.75" bottom="0.75" header="0.3" footer="0.3"/>
  <pageSetup scale="68" orientation="landscape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47"/>
  <sheetViews>
    <sheetView workbookViewId="0">
      <selection sqref="A1:E47"/>
    </sheetView>
  </sheetViews>
  <sheetFormatPr defaultRowHeight="14.4" x14ac:dyDescent="0.3"/>
  <cols>
    <col min="1" max="1" width="26.33203125" bestFit="1" customWidth="1"/>
    <col min="2" max="2" width="80.44140625" bestFit="1" customWidth="1"/>
  </cols>
  <sheetData>
    <row r="1" spans="1:5" x14ac:dyDescent="0.3">
      <c r="A1" s="12" t="s">
        <v>197</v>
      </c>
      <c r="B1" s="12"/>
      <c r="C1" s="12" t="s">
        <v>198</v>
      </c>
      <c r="D1" s="12" t="s">
        <v>199</v>
      </c>
      <c r="E1" s="12" t="s">
        <v>200</v>
      </c>
    </row>
    <row r="2" spans="1:5" x14ac:dyDescent="0.3">
      <c r="A2" s="12" t="s">
        <v>170</v>
      </c>
      <c r="B2" s="12" t="s">
        <v>124</v>
      </c>
      <c r="C2" s="12"/>
      <c r="D2" s="12"/>
      <c r="E2" s="12"/>
    </row>
    <row r="3" spans="1:5" x14ac:dyDescent="0.3">
      <c r="A3" s="12" t="s">
        <v>171</v>
      </c>
      <c r="B3" s="12" t="s">
        <v>141</v>
      </c>
      <c r="C3" s="12"/>
      <c r="D3" s="12"/>
      <c r="E3" s="12"/>
    </row>
    <row r="4" spans="1:5" x14ac:dyDescent="0.3">
      <c r="A4" s="12" t="s">
        <v>172</v>
      </c>
      <c r="B4" s="12" t="s">
        <v>139</v>
      </c>
      <c r="C4" s="12"/>
      <c r="D4" s="12"/>
      <c r="E4" s="12"/>
    </row>
    <row r="5" spans="1:5" x14ac:dyDescent="0.3">
      <c r="A5" s="12" t="s">
        <v>172</v>
      </c>
      <c r="B5" s="12" t="s">
        <v>113</v>
      </c>
      <c r="C5" s="12"/>
      <c r="D5" s="12"/>
      <c r="E5" s="12"/>
    </row>
    <row r="6" spans="1:5" x14ac:dyDescent="0.3">
      <c r="A6" s="12" t="s">
        <v>172</v>
      </c>
      <c r="B6" s="12" t="s">
        <v>114</v>
      </c>
      <c r="C6" s="12"/>
      <c r="D6" s="12"/>
      <c r="E6" s="12"/>
    </row>
    <row r="7" spans="1:5" x14ac:dyDescent="0.3">
      <c r="A7" s="12" t="s">
        <v>172</v>
      </c>
      <c r="B7" s="12" t="s">
        <v>115</v>
      </c>
      <c r="C7" s="12"/>
      <c r="D7" s="12"/>
      <c r="E7" s="12"/>
    </row>
    <row r="8" spans="1:5" x14ac:dyDescent="0.3">
      <c r="A8" s="12" t="s">
        <v>173</v>
      </c>
      <c r="B8" s="12" t="s">
        <v>143</v>
      </c>
      <c r="C8" s="12"/>
      <c r="D8" s="12"/>
      <c r="E8" s="12"/>
    </row>
    <row r="9" spans="1:5" x14ac:dyDescent="0.3">
      <c r="A9" s="12" t="s">
        <v>174</v>
      </c>
      <c r="B9" s="12" t="s">
        <v>116</v>
      </c>
      <c r="C9" s="12"/>
      <c r="D9" s="12"/>
      <c r="E9" s="12"/>
    </row>
    <row r="10" spans="1:5" x14ac:dyDescent="0.3">
      <c r="A10" s="12" t="s">
        <v>174</v>
      </c>
      <c r="B10" s="12" t="s">
        <v>117</v>
      </c>
      <c r="C10" s="12"/>
      <c r="D10" s="12"/>
      <c r="E10" s="12"/>
    </row>
    <row r="11" spans="1:5" x14ac:dyDescent="0.3">
      <c r="A11" s="12" t="s">
        <v>174</v>
      </c>
      <c r="B11" s="12" t="s">
        <v>118</v>
      </c>
      <c r="C11" s="12"/>
      <c r="D11" s="12"/>
      <c r="E11" s="12"/>
    </row>
    <row r="12" spans="1:5" x14ac:dyDescent="0.3">
      <c r="A12" s="12" t="s">
        <v>175</v>
      </c>
      <c r="B12" s="12" t="s">
        <v>119</v>
      </c>
      <c r="C12" s="12"/>
      <c r="D12" s="12"/>
      <c r="E12" s="12"/>
    </row>
    <row r="13" spans="1:5" x14ac:dyDescent="0.3">
      <c r="A13" s="12" t="s">
        <v>175</v>
      </c>
      <c r="B13" s="12" t="s">
        <v>130</v>
      </c>
      <c r="C13" s="12"/>
      <c r="D13" s="12"/>
      <c r="E13" s="12"/>
    </row>
    <row r="14" spans="1:5" x14ac:dyDescent="0.3">
      <c r="A14" s="12" t="s">
        <v>176</v>
      </c>
      <c r="B14" s="12" t="s">
        <v>120</v>
      </c>
      <c r="C14" s="12"/>
      <c r="D14" s="12"/>
      <c r="E14" s="12"/>
    </row>
    <row r="15" spans="1:5" x14ac:dyDescent="0.3">
      <c r="A15" s="12" t="s">
        <v>176</v>
      </c>
      <c r="B15" s="12" t="s">
        <v>121</v>
      </c>
      <c r="C15" s="12"/>
      <c r="D15" s="12"/>
      <c r="E15" s="12"/>
    </row>
    <row r="16" spans="1:5" x14ac:dyDescent="0.3">
      <c r="A16" s="12" t="s">
        <v>176</v>
      </c>
      <c r="B16" s="12" t="s">
        <v>122</v>
      </c>
      <c r="C16" s="12"/>
      <c r="D16" s="12"/>
      <c r="E16" s="12"/>
    </row>
    <row r="17" spans="1:5" x14ac:dyDescent="0.3">
      <c r="A17" s="12" t="s">
        <v>177</v>
      </c>
      <c r="B17" s="12" t="s">
        <v>138</v>
      </c>
      <c r="C17" s="12"/>
      <c r="D17" s="12"/>
      <c r="E17" s="12"/>
    </row>
    <row r="18" spans="1:5" x14ac:dyDescent="0.3">
      <c r="A18" s="12" t="s">
        <v>178</v>
      </c>
      <c r="B18" s="12" t="s">
        <v>137</v>
      </c>
      <c r="C18" s="12"/>
      <c r="D18" s="12"/>
      <c r="E18" s="12"/>
    </row>
    <row r="19" spans="1:5" x14ac:dyDescent="0.3">
      <c r="A19" s="12" t="s">
        <v>178</v>
      </c>
      <c r="B19" s="12" t="s">
        <v>123</v>
      </c>
      <c r="C19" s="12"/>
      <c r="D19" s="12"/>
      <c r="E19" s="12"/>
    </row>
    <row r="20" spans="1:5" x14ac:dyDescent="0.3">
      <c r="A20" s="12" t="s">
        <v>179</v>
      </c>
      <c r="B20" s="12" t="s">
        <v>135</v>
      </c>
      <c r="C20" s="12"/>
      <c r="D20" s="12"/>
      <c r="E20" s="12"/>
    </row>
    <row r="21" spans="1:5" x14ac:dyDescent="0.3">
      <c r="A21" s="12" t="s">
        <v>180</v>
      </c>
      <c r="B21" s="12" t="s">
        <v>125</v>
      </c>
      <c r="C21" s="12"/>
      <c r="D21" s="12"/>
      <c r="E21" s="12"/>
    </row>
    <row r="22" spans="1:5" x14ac:dyDescent="0.3">
      <c r="A22" s="12" t="s">
        <v>181</v>
      </c>
      <c r="B22" s="12" t="s">
        <v>135</v>
      </c>
      <c r="C22" s="12"/>
      <c r="D22" s="12"/>
      <c r="E22" s="12"/>
    </row>
    <row r="23" spans="1:5" x14ac:dyDescent="0.3">
      <c r="A23" s="12" t="s">
        <v>182</v>
      </c>
      <c r="B23" s="12" t="s">
        <v>136</v>
      </c>
      <c r="C23" s="12"/>
      <c r="D23" s="12"/>
      <c r="E23" s="12"/>
    </row>
    <row r="24" spans="1:5" x14ac:dyDescent="0.3">
      <c r="A24" s="12" t="s">
        <v>183</v>
      </c>
      <c r="B24" s="12" t="s">
        <v>140</v>
      </c>
      <c r="C24" s="12"/>
      <c r="D24" s="12"/>
      <c r="E24" s="12"/>
    </row>
    <row r="25" spans="1:5" x14ac:dyDescent="0.3">
      <c r="A25" s="12" t="s">
        <v>183</v>
      </c>
      <c r="B25" s="12" t="s">
        <v>134</v>
      </c>
      <c r="C25" s="12"/>
      <c r="D25" s="12"/>
      <c r="E25" s="12"/>
    </row>
    <row r="26" spans="1:5" x14ac:dyDescent="0.3">
      <c r="A26" s="12" t="s">
        <v>184</v>
      </c>
      <c r="B26" s="12" t="s">
        <v>131</v>
      </c>
      <c r="C26" s="12"/>
      <c r="D26" s="12"/>
      <c r="E26" s="12"/>
    </row>
    <row r="27" spans="1:5" x14ac:dyDescent="0.3">
      <c r="A27" s="12" t="s">
        <v>184</v>
      </c>
      <c r="B27" s="12" t="s">
        <v>133</v>
      </c>
      <c r="C27" s="12"/>
      <c r="D27" s="12"/>
      <c r="E27" s="12"/>
    </row>
    <row r="28" spans="1:5" x14ac:dyDescent="0.3">
      <c r="A28" s="12" t="s">
        <v>184</v>
      </c>
      <c r="B28" s="12" t="s">
        <v>129</v>
      </c>
      <c r="C28" s="12"/>
      <c r="D28" s="12"/>
      <c r="E28" s="12"/>
    </row>
    <row r="29" spans="1:5" x14ac:dyDescent="0.3">
      <c r="A29" s="12" t="s">
        <v>184</v>
      </c>
      <c r="B29" s="12" t="s">
        <v>132</v>
      </c>
      <c r="C29" s="12"/>
      <c r="D29" s="12"/>
      <c r="E29" s="12"/>
    </row>
    <row r="30" spans="1:5" x14ac:dyDescent="0.3">
      <c r="A30" s="12" t="s">
        <v>185</v>
      </c>
      <c r="B30" s="12" t="s">
        <v>136</v>
      </c>
      <c r="C30" s="12"/>
      <c r="D30" s="12"/>
      <c r="E30" s="12"/>
    </row>
    <row r="31" spans="1:5" x14ac:dyDescent="0.3">
      <c r="A31" s="12" t="s">
        <v>185</v>
      </c>
      <c r="B31" s="12" t="s">
        <v>127</v>
      </c>
      <c r="C31" s="12"/>
      <c r="D31" s="12"/>
      <c r="E31" s="12"/>
    </row>
    <row r="32" spans="1:5" x14ac:dyDescent="0.3">
      <c r="A32" s="12" t="s">
        <v>185</v>
      </c>
      <c r="B32" s="12" t="s">
        <v>128</v>
      </c>
      <c r="C32" s="12"/>
      <c r="D32" s="12"/>
      <c r="E32" s="12"/>
    </row>
    <row r="33" spans="1:5" x14ac:dyDescent="0.3">
      <c r="A33" s="12" t="s">
        <v>185</v>
      </c>
      <c r="B33" s="12" t="s">
        <v>142</v>
      </c>
      <c r="C33" s="12"/>
      <c r="D33" s="12"/>
      <c r="E33" s="12"/>
    </row>
    <row r="34" spans="1:5" x14ac:dyDescent="0.3">
      <c r="A34" s="12" t="s">
        <v>186</v>
      </c>
      <c r="B34" s="12" t="s">
        <v>187</v>
      </c>
      <c r="C34" s="12"/>
      <c r="D34" s="12"/>
      <c r="E34" s="12"/>
    </row>
    <row r="35" spans="1:5" x14ac:dyDescent="0.3">
      <c r="A35" s="12" t="s">
        <v>188</v>
      </c>
      <c r="B35" s="12" t="s">
        <v>157</v>
      </c>
      <c r="C35" s="12"/>
      <c r="D35" s="12"/>
      <c r="E35" s="12"/>
    </row>
    <row r="36" spans="1:5" x14ac:dyDescent="0.3">
      <c r="A36" s="12" t="s">
        <v>188</v>
      </c>
      <c r="B36" s="12" t="s">
        <v>158</v>
      </c>
      <c r="C36" s="12"/>
      <c r="D36" s="12"/>
      <c r="E36" s="12"/>
    </row>
    <row r="37" spans="1:5" x14ac:dyDescent="0.3">
      <c r="A37" s="12" t="s">
        <v>189</v>
      </c>
      <c r="B37" s="12" t="s">
        <v>159</v>
      </c>
      <c r="C37" s="12"/>
      <c r="D37" s="12"/>
      <c r="E37" s="12"/>
    </row>
    <row r="38" spans="1:5" x14ac:dyDescent="0.3">
      <c r="A38" s="12" t="s">
        <v>189</v>
      </c>
      <c r="B38" s="12" t="s">
        <v>160</v>
      </c>
      <c r="C38" s="12"/>
      <c r="D38" s="12"/>
      <c r="E38" s="12"/>
    </row>
    <row r="39" spans="1:5" x14ac:dyDescent="0.3">
      <c r="A39" s="12" t="s">
        <v>189</v>
      </c>
      <c r="B39" s="12" t="s">
        <v>161</v>
      </c>
      <c r="C39" s="12"/>
      <c r="D39" s="12"/>
      <c r="E39" s="12"/>
    </row>
    <row r="40" spans="1:5" x14ac:dyDescent="0.3">
      <c r="A40" s="12" t="s">
        <v>190</v>
      </c>
      <c r="B40" s="12" t="s">
        <v>162</v>
      </c>
      <c r="C40" s="12"/>
      <c r="D40" s="12"/>
      <c r="E40" s="12"/>
    </row>
    <row r="41" spans="1:5" x14ac:dyDescent="0.3">
      <c r="A41" s="12" t="s">
        <v>191</v>
      </c>
      <c r="B41" s="12" t="s">
        <v>163</v>
      </c>
      <c r="C41" s="12"/>
      <c r="D41" s="12"/>
      <c r="E41" s="12"/>
    </row>
    <row r="42" spans="1:5" x14ac:dyDescent="0.3">
      <c r="A42" s="12" t="s">
        <v>192</v>
      </c>
      <c r="B42" s="12" t="s">
        <v>164</v>
      </c>
      <c r="C42" s="12"/>
      <c r="D42" s="12"/>
      <c r="E42" s="12"/>
    </row>
    <row r="43" spans="1:5" x14ac:dyDescent="0.3">
      <c r="A43" s="12" t="s">
        <v>192</v>
      </c>
      <c r="B43" s="12" t="s">
        <v>165</v>
      </c>
      <c r="C43" s="12"/>
      <c r="D43" s="12"/>
      <c r="E43" s="12"/>
    </row>
    <row r="44" spans="1:5" x14ac:dyDescent="0.3">
      <c r="A44" s="12" t="s">
        <v>192</v>
      </c>
      <c r="B44" s="12" t="s">
        <v>166</v>
      </c>
      <c r="C44" s="12"/>
      <c r="D44" s="12"/>
      <c r="E44" s="12"/>
    </row>
    <row r="45" spans="1:5" x14ac:dyDescent="0.3">
      <c r="A45" s="12" t="s">
        <v>193</v>
      </c>
      <c r="B45" s="12" t="s">
        <v>167</v>
      </c>
      <c r="C45" s="12"/>
      <c r="D45" s="12"/>
      <c r="E45" s="12"/>
    </row>
    <row r="46" spans="1:5" x14ac:dyDescent="0.3">
      <c r="A46" s="12" t="s">
        <v>193</v>
      </c>
      <c r="B46" s="12" t="s">
        <v>169</v>
      </c>
      <c r="C46" s="12"/>
      <c r="D46" s="12"/>
      <c r="E46" s="12"/>
    </row>
    <row r="47" spans="1:5" x14ac:dyDescent="0.3">
      <c r="A47" s="12" t="s">
        <v>194</v>
      </c>
      <c r="B47" s="12" t="s">
        <v>168</v>
      </c>
      <c r="C47" s="12"/>
      <c r="D47" s="12"/>
      <c r="E47" s="12"/>
    </row>
  </sheetData>
  <pageMargins left="0.7" right="0.7" top="0.75" bottom="0.75" header="0.3" footer="0.3"/>
  <pageSetup scale="73" fitToWidth="0" orientation="landscape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47"/>
  <sheetViews>
    <sheetView workbookViewId="0">
      <selection activeCell="C18" sqref="C18"/>
    </sheetView>
  </sheetViews>
  <sheetFormatPr defaultRowHeight="14.4" x14ac:dyDescent="0.3"/>
  <cols>
    <col min="1" max="1" width="26.33203125" bestFit="1" customWidth="1"/>
    <col min="2" max="2" width="80.44140625" bestFit="1" customWidth="1"/>
    <col min="3" max="3" width="9.21875" bestFit="1" customWidth="1"/>
    <col min="4" max="4" width="10.6640625" bestFit="1" customWidth="1"/>
    <col min="5" max="5" width="8.33203125" bestFit="1" customWidth="1"/>
  </cols>
  <sheetData>
    <row r="1" spans="1:5" x14ac:dyDescent="0.3">
      <c r="A1" s="12" t="s">
        <v>201</v>
      </c>
      <c r="B1" s="12"/>
      <c r="C1" s="12" t="s">
        <v>205</v>
      </c>
      <c r="D1" s="12" t="s">
        <v>202</v>
      </c>
      <c r="E1" s="12" t="s">
        <v>203</v>
      </c>
    </row>
    <row r="2" spans="1:5" x14ac:dyDescent="0.3">
      <c r="A2" s="12" t="s">
        <v>170</v>
      </c>
      <c r="B2" s="12" t="s">
        <v>124</v>
      </c>
      <c r="C2" s="12"/>
      <c r="D2" s="12"/>
      <c r="E2" s="12"/>
    </row>
    <row r="3" spans="1:5" x14ac:dyDescent="0.3">
      <c r="A3" s="12" t="s">
        <v>171</v>
      </c>
      <c r="B3" s="12" t="s">
        <v>141</v>
      </c>
      <c r="C3" s="12"/>
      <c r="D3" s="12"/>
      <c r="E3" s="12"/>
    </row>
    <row r="4" spans="1:5" x14ac:dyDescent="0.3">
      <c r="A4" s="12" t="s">
        <v>172</v>
      </c>
      <c r="B4" s="12" t="s">
        <v>139</v>
      </c>
      <c r="C4" s="12"/>
      <c r="D4" s="12"/>
      <c r="E4" s="12"/>
    </row>
    <row r="5" spans="1:5" x14ac:dyDescent="0.3">
      <c r="A5" s="12" t="s">
        <v>172</v>
      </c>
      <c r="B5" s="12" t="s">
        <v>113</v>
      </c>
      <c r="C5" s="12"/>
      <c r="D5" s="12"/>
      <c r="E5" s="12"/>
    </row>
    <row r="6" spans="1:5" x14ac:dyDescent="0.3">
      <c r="A6" s="12" t="s">
        <v>172</v>
      </c>
      <c r="B6" s="12" t="s">
        <v>114</v>
      </c>
      <c r="C6" s="12"/>
      <c r="D6" s="12"/>
      <c r="E6" s="12"/>
    </row>
    <row r="7" spans="1:5" x14ac:dyDescent="0.3">
      <c r="A7" s="12" t="s">
        <v>172</v>
      </c>
      <c r="B7" s="12" t="s">
        <v>115</v>
      </c>
      <c r="C7" s="12"/>
      <c r="D7" s="12"/>
      <c r="E7" s="12"/>
    </row>
    <row r="8" spans="1:5" x14ac:dyDescent="0.3">
      <c r="A8" s="12" t="s">
        <v>173</v>
      </c>
      <c r="B8" s="12" t="s">
        <v>143</v>
      </c>
      <c r="C8" s="12"/>
      <c r="D8" s="12"/>
      <c r="E8" s="12"/>
    </row>
    <row r="9" spans="1:5" x14ac:dyDescent="0.3">
      <c r="A9" s="12" t="s">
        <v>174</v>
      </c>
      <c r="B9" s="12" t="s">
        <v>116</v>
      </c>
      <c r="C9" s="12"/>
      <c r="D9" s="12"/>
      <c r="E9" s="12"/>
    </row>
    <row r="10" spans="1:5" x14ac:dyDescent="0.3">
      <c r="A10" s="12" t="s">
        <v>174</v>
      </c>
      <c r="B10" s="12" t="s">
        <v>117</v>
      </c>
      <c r="C10" s="12"/>
      <c r="D10" s="12"/>
      <c r="E10" s="12"/>
    </row>
    <row r="11" spans="1:5" x14ac:dyDescent="0.3">
      <c r="A11" s="12" t="s">
        <v>174</v>
      </c>
      <c r="B11" s="12" t="s">
        <v>118</v>
      </c>
      <c r="C11" s="12"/>
      <c r="D11" s="12"/>
      <c r="E11" s="12"/>
    </row>
    <row r="12" spans="1:5" x14ac:dyDescent="0.3">
      <c r="A12" s="12" t="s">
        <v>175</v>
      </c>
      <c r="B12" s="12" t="s">
        <v>119</v>
      </c>
      <c r="C12" s="12"/>
      <c r="D12" s="12"/>
      <c r="E12" s="12"/>
    </row>
    <row r="13" spans="1:5" x14ac:dyDescent="0.3">
      <c r="A13" s="12" t="s">
        <v>175</v>
      </c>
      <c r="B13" s="12" t="s">
        <v>130</v>
      </c>
      <c r="C13" s="12"/>
      <c r="D13" s="12"/>
      <c r="E13" s="12"/>
    </row>
    <row r="14" spans="1:5" x14ac:dyDescent="0.3">
      <c r="A14" s="12" t="s">
        <v>176</v>
      </c>
      <c r="B14" s="12" t="s">
        <v>120</v>
      </c>
      <c r="C14" s="12"/>
      <c r="D14" s="12"/>
      <c r="E14" s="12"/>
    </row>
    <row r="15" spans="1:5" x14ac:dyDescent="0.3">
      <c r="A15" s="12" t="s">
        <v>176</v>
      </c>
      <c r="B15" s="12" t="s">
        <v>121</v>
      </c>
      <c r="C15" s="12"/>
      <c r="D15" s="12"/>
      <c r="E15" s="12"/>
    </row>
    <row r="16" spans="1:5" x14ac:dyDescent="0.3">
      <c r="A16" s="12" t="s">
        <v>176</v>
      </c>
      <c r="B16" s="12" t="s">
        <v>122</v>
      </c>
      <c r="C16" s="12"/>
      <c r="D16" s="12"/>
      <c r="E16" s="12"/>
    </row>
    <row r="17" spans="1:5" x14ac:dyDescent="0.3">
      <c r="A17" s="12" t="s">
        <v>177</v>
      </c>
      <c r="B17" s="12" t="s">
        <v>138</v>
      </c>
      <c r="C17" s="12"/>
      <c r="D17" s="12"/>
      <c r="E17" s="12"/>
    </row>
    <row r="18" spans="1:5" x14ac:dyDescent="0.3">
      <c r="A18" s="12" t="s">
        <v>178</v>
      </c>
      <c r="B18" s="12" t="s">
        <v>137</v>
      </c>
      <c r="C18" s="12"/>
      <c r="D18" s="12"/>
      <c r="E18" s="12"/>
    </row>
    <row r="19" spans="1:5" x14ac:dyDescent="0.3">
      <c r="A19" s="12" t="s">
        <v>178</v>
      </c>
      <c r="B19" s="12" t="s">
        <v>123</v>
      </c>
      <c r="C19" s="12"/>
      <c r="D19" s="12"/>
      <c r="E19" s="12"/>
    </row>
    <row r="20" spans="1:5" x14ac:dyDescent="0.3">
      <c r="A20" s="12" t="s">
        <v>179</v>
      </c>
      <c r="B20" s="12" t="s">
        <v>135</v>
      </c>
      <c r="C20" s="12"/>
      <c r="D20" s="12"/>
      <c r="E20" s="12"/>
    </row>
    <row r="21" spans="1:5" x14ac:dyDescent="0.3">
      <c r="A21" s="12" t="s">
        <v>180</v>
      </c>
      <c r="B21" s="12" t="s">
        <v>125</v>
      </c>
      <c r="C21" s="12"/>
      <c r="D21" s="12"/>
      <c r="E21" s="12"/>
    </row>
    <row r="22" spans="1:5" x14ac:dyDescent="0.3">
      <c r="A22" s="12" t="s">
        <v>181</v>
      </c>
      <c r="B22" s="12" t="s">
        <v>135</v>
      </c>
      <c r="C22" s="12"/>
      <c r="D22" s="12"/>
      <c r="E22" s="12"/>
    </row>
    <row r="23" spans="1:5" x14ac:dyDescent="0.3">
      <c r="A23" s="12" t="s">
        <v>182</v>
      </c>
      <c r="B23" s="12" t="s">
        <v>136</v>
      </c>
      <c r="C23" s="12"/>
      <c r="D23" s="12"/>
      <c r="E23" s="12"/>
    </row>
    <row r="24" spans="1:5" x14ac:dyDescent="0.3">
      <c r="A24" s="12" t="s">
        <v>183</v>
      </c>
      <c r="B24" s="12" t="s">
        <v>140</v>
      </c>
      <c r="C24" s="12"/>
      <c r="D24" s="12"/>
      <c r="E24" s="12"/>
    </row>
    <row r="25" spans="1:5" x14ac:dyDescent="0.3">
      <c r="A25" s="12" t="s">
        <v>183</v>
      </c>
      <c r="B25" s="12" t="s">
        <v>134</v>
      </c>
      <c r="C25" s="12"/>
      <c r="D25" s="12"/>
      <c r="E25" s="12"/>
    </row>
    <row r="26" spans="1:5" x14ac:dyDescent="0.3">
      <c r="A26" s="12" t="s">
        <v>184</v>
      </c>
      <c r="B26" s="12" t="s">
        <v>131</v>
      </c>
      <c r="C26" s="12"/>
      <c r="D26" s="12"/>
      <c r="E26" s="12"/>
    </row>
    <row r="27" spans="1:5" x14ac:dyDescent="0.3">
      <c r="A27" s="12" t="s">
        <v>184</v>
      </c>
      <c r="B27" s="12" t="s">
        <v>133</v>
      </c>
      <c r="C27" s="12"/>
      <c r="D27" s="12"/>
      <c r="E27" s="12"/>
    </row>
    <row r="28" spans="1:5" x14ac:dyDescent="0.3">
      <c r="A28" s="12" t="s">
        <v>184</v>
      </c>
      <c r="B28" s="12" t="s">
        <v>129</v>
      </c>
      <c r="C28" s="12"/>
      <c r="D28" s="12"/>
      <c r="E28" s="12"/>
    </row>
    <row r="29" spans="1:5" x14ac:dyDescent="0.3">
      <c r="A29" s="12" t="s">
        <v>184</v>
      </c>
      <c r="B29" s="12" t="s">
        <v>132</v>
      </c>
      <c r="C29" s="12"/>
      <c r="D29" s="12"/>
      <c r="E29" s="12"/>
    </row>
    <row r="30" spans="1:5" x14ac:dyDescent="0.3">
      <c r="A30" s="12" t="s">
        <v>185</v>
      </c>
      <c r="B30" s="12" t="s">
        <v>136</v>
      </c>
      <c r="C30" s="12"/>
      <c r="D30" s="12"/>
      <c r="E30" s="12"/>
    </row>
    <row r="31" spans="1:5" x14ac:dyDescent="0.3">
      <c r="A31" s="12" t="s">
        <v>185</v>
      </c>
      <c r="B31" s="12" t="s">
        <v>127</v>
      </c>
      <c r="C31" s="12"/>
      <c r="D31" s="12"/>
      <c r="E31" s="12"/>
    </row>
    <row r="32" spans="1:5" x14ac:dyDescent="0.3">
      <c r="A32" s="12" t="s">
        <v>185</v>
      </c>
      <c r="B32" s="12" t="s">
        <v>128</v>
      </c>
      <c r="C32" s="12"/>
      <c r="D32" s="12"/>
      <c r="E32" s="12"/>
    </row>
    <row r="33" spans="1:5" x14ac:dyDescent="0.3">
      <c r="A33" s="12" t="s">
        <v>185</v>
      </c>
      <c r="B33" s="12" t="s">
        <v>142</v>
      </c>
      <c r="C33" s="12"/>
      <c r="D33" s="12"/>
      <c r="E33" s="12"/>
    </row>
    <row r="34" spans="1:5" x14ac:dyDescent="0.3">
      <c r="A34" s="12" t="s">
        <v>186</v>
      </c>
      <c r="B34" s="12" t="s">
        <v>187</v>
      </c>
      <c r="C34" s="12"/>
      <c r="D34" s="12"/>
      <c r="E34" s="12"/>
    </row>
    <row r="35" spans="1:5" x14ac:dyDescent="0.3">
      <c r="A35" s="12" t="s">
        <v>188</v>
      </c>
      <c r="B35" s="12" t="s">
        <v>157</v>
      </c>
      <c r="C35" s="12"/>
      <c r="D35" s="12"/>
      <c r="E35" s="12"/>
    </row>
    <row r="36" spans="1:5" x14ac:dyDescent="0.3">
      <c r="A36" s="12" t="s">
        <v>188</v>
      </c>
      <c r="B36" s="12" t="s">
        <v>158</v>
      </c>
      <c r="C36" s="12"/>
      <c r="D36" s="12"/>
      <c r="E36" s="12"/>
    </row>
    <row r="37" spans="1:5" x14ac:dyDescent="0.3">
      <c r="A37" s="12" t="s">
        <v>189</v>
      </c>
      <c r="B37" s="12" t="s">
        <v>159</v>
      </c>
      <c r="C37" s="12"/>
      <c r="D37" s="12"/>
      <c r="E37" s="12"/>
    </row>
    <row r="38" spans="1:5" x14ac:dyDescent="0.3">
      <c r="A38" s="12" t="s">
        <v>189</v>
      </c>
      <c r="B38" s="12" t="s">
        <v>160</v>
      </c>
      <c r="C38" s="12"/>
      <c r="D38" s="12"/>
      <c r="E38" s="12"/>
    </row>
    <row r="39" spans="1:5" x14ac:dyDescent="0.3">
      <c r="A39" s="12" t="s">
        <v>189</v>
      </c>
      <c r="B39" s="12" t="s">
        <v>161</v>
      </c>
      <c r="C39" s="12"/>
      <c r="D39" s="12"/>
      <c r="E39" s="12"/>
    </row>
    <row r="40" spans="1:5" x14ac:dyDescent="0.3">
      <c r="A40" s="12" t="s">
        <v>190</v>
      </c>
      <c r="B40" s="12" t="s">
        <v>162</v>
      </c>
      <c r="C40" s="12"/>
      <c r="D40" s="12"/>
      <c r="E40" s="12"/>
    </row>
    <row r="41" spans="1:5" x14ac:dyDescent="0.3">
      <c r="A41" s="12" t="s">
        <v>191</v>
      </c>
      <c r="B41" s="12" t="s">
        <v>163</v>
      </c>
      <c r="C41" s="12"/>
      <c r="D41" s="12"/>
      <c r="E41" s="12"/>
    </row>
    <row r="42" spans="1:5" x14ac:dyDescent="0.3">
      <c r="A42" s="12" t="s">
        <v>192</v>
      </c>
      <c r="B42" s="12" t="s">
        <v>164</v>
      </c>
      <c r="C42" s="12"/>
      <c r="D42" s="12"/>
      <c r="E42" s="12"/>
    </row>
    <row r="43" spans="1:5" x14ac:dyDescent="0.3">
      <c r="A43" s="12" t="s">
        <v>192</v>
      </c>
      <c r="B43" s="12" t="s">
        <v>165</v>
      </c>
      <c r="C43" s="12"/>
      <c r="D43" s="12"/>
      <c r="E43" s="12"/>
    </row>
    <row r="44" spans="1:5" x14ac:dyDescent="0.3">
      <c r="A44" s="12" t="s">
        <v>192</v>
      </c>
      <c r="B44" s="12" t="s">
        <v>166</v>
      </c>
      <c r="C44" s="12"/>
      <c r="D44" s="12"/>
      <c r="E44" s="12"/>
    </row>
    <row r="45" spans="1:5" x14ac:dyDescent="0.3">
      <c r="A45" s="12" t="s">
        <v>193</v>
      </c>
      <c r="B45" s="12" t="s">
        <v>167</v>
      </c>
      <c r="C45" s="12"/>
      <c r="D45" s="12"/>
      <c r="E45" s="12"/>
    </row>
    <row r="46" spans="1:5" x14ac:dyDescent="0.3">
      <c r="A46" s="12" t="s">
        <v>193</v>
      </c>
      <c r="B46" s="12" t="s">
        <v>169</v>
      </c>
      <c r="C46" s="12"/>
      <c r="D46" s="12"/>
      <c r="E46" s="12"/>
    </row>
    <row r="47" spans="1:5" x14ac:dyDescent="0.3">
      <c r="A47" s="12" t="s">
        <v>194</v>
      </c>
      <c r="B47" s="12" t="s">
        <v>168</v>
      </c>
      <c r="C47" s="12"/>
      <c r="D47" s="12"/>
      <c r="E47" s="12"/>
    </row>
  </sheetData>
  <pageMargins left="0.7" right="0.7" top="0.75" bottom="0.75" header="0.3" footer="0.3"/>
  <pageSetup scale="73" orientation="landscape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47"/>
  <sheetViews>
    <sheetView tabSelected="1" topLeftCell="A20" workbookViewId="0">
      <selection activeCell="B45" sqref="B45"/>
    </sheetView>
  </sheetViews>
  <sheetFormatPr defaultRowHeight="14.4" x14ac:dyDescent="0.3"/>
  <cols>
    <col min="1" max="1" width="26.33203125" bestFit="1" customWidth="1"/>
    <col min="2" max="2" width="80.44140625" bestFit="1" customWidth="1"/>
    <col min="3" max="3" width="9.21875" bestFit="1" customWidth="1"/>
    <col min="4" max="4" width="10.6640625" bestFit="1" customWidth="1"/>
  </cols>
  <sheetData>
    <row r="1" spans="1:5" x14ac:dyDescent="0.3">
      <c r="A1" s="1" t="s">
        <v>204</v>
      </c>
      <c r="B1" s="1"/>
      <c r="C1" s="1" t="s">
        <v>205</v>
      </c>
      <c r="D1" s="1" t="s">
        <v>202</v>
      </c>
      <c r="E1" s="1" t="s">
        <v>199</v>
      </c>
    </row>
    <row r="2" spans="1:5" x14ac:dyDescent="0.3">
      <c r="A2" s="1" t="s">
        <v>170</v>
      </c>
      <c r="B2" s="1" t="s">
        <v>124</v>
      </c>
      <c r="C2" s="1"/>
      <c r="D2" s="1"/>
      <c r="E2" s="1"/>
    </row>
    <row r="3" spans="1:5" x14ac:dyDescent="0.3">
      <c r="A3" s="1" t="s">
        <v>171</v>
      </c>
      <c r="B3" s="1" t="s">
        <v>141</v>
      </c>
      <c r="C3" s="1"/>
      <c r="D3" s="1"/>
      <c r="E3" s="1"/>
    </row>
    <row r="4" spans="1:5" x14ac:dyDescent="0.3">
      <c r="A4" s="1" t="s">
        <v>172</v>
      </c>
      <c r="B4" s="1" t="s">
        <v>139</v>
      </c>
      <c r="C4" s="1"/>
      <c r="D4" s="1"/>
      <c r="E4" s="1"/>
    </row>
    <row r="5" spans="1:5" x14ac:dyDescent="0.3">
      <c r="A5" s="1" t="s">
        <v>172</v>
      </c>
      <c r="B5" s="1" t="s">
        <v>113</v>
      </c>
      <c r="C5" s="1"/>
      <c r="D5" s="1"/>
      <c r="E5" s="1"/>
    </row>
    <row r="6" spans="1:5" x14ac:dyDescent="0.3">
      <c r="A6" s="1" t="s">
        <v>172</v>
      </c>
      <c r="B6" s="1" t="s">
        <v>114</v>
      </c>
      <c r="C6" s="1"/>
      <c r="D6" s="1"/>
      <c r="E6" s="1"/>
    </row>
    <row r="7" spans="1:5" x14ac:dyDescent="0.3">
      <c r="A7" s="1" t="s">
        <v>172</v>
      </c>
      <c r="B7" s="1" t="s">
        <v>115</v>
      </c>
      <c r="C7" s="1"/>
      <c r="D7" s="1"/>
      <c r="E7" s="1"/>
    </row>
    <row r="8" spans="1:5" x14ac:dyDescent="0.3">
      <c r="A8" s="1" t="s">
        <v>173</v>
      </c>
      <c r="B8" s="1" t="s">
        <v>143</v>
      </c>
      <c r="C8" s="1"/>
      <c r="D8" s="1"/>
      <c r="E8" s="1"/>
    </row>
    <row r="9" spans="1:5" x14ac:dyDescent="0.3">
      <c r="A9" s="1" t="s">
        <v>174</v>
      </c>
      <c r="B9" s="1" t="s">
        <v>116</v>
      </c>
      <c r="C9" s="1"/>
      <c r="D9" s="1"/>
      <c r="E9" s="1"/>
    </row>
    <row r="10" spans="1:5" x14ac:dyDescent="0.3">
      <c r="A10" s="1" t="s">
        <v>174</v>
      </c>
      <c r="B10" s="1" t="s">
        <v>117</v>
      </c>
      <c r="C10" s="1"/>
      <c r="D10" s="1"/>
      <c r="E10" s="1"/>
    </row>
    <row r="11" spans="1:5" x14ac:dyDescent="0.3">
      <c r="A11" s="1" t="s">
        <v>174</v>
      </c>
      <c r="B11" s="1" t="s">
        <v>118</v>
      </c>
      <c r="C11" s="1"/>
      <c r="D11" s="1"/>
      <c r="E11" s="1"/>
    </row>
    <row r="12" spans="1:5" x14ac:dyDescent="0.3">
      <c r="A12" s="1" t="s">
        <v>175</v>
      </c>
      <c r="B12" s="1" t="s">
        <v>119</v>
      </c>
      <c r="C12" s="1"/>
      <c r="D12" s="1"/>
      <c r="E12" s="1"/>
    </row>
    <row r="13" spans="1:5" x14ac:dyDescent="0.3">
      <c r="A13" s="1" t="s">
        <v>175</v>
      </c>
      <c r="B13" s="1" t="s">
        <v>130</v>
      </c>
      <c r="C13" s="1"/>
      <c r="D13" s="1"/>
      <c r="E13" s="1"/>
    </row>
    <row r="14" spans="1:5" x14ac:dyDescent="0.3">
      <c r="A14" s="1" t="s">
        <v>176</v>
      </c>
      <c r="B14" s="1" t="s">
        <v>120</v>
      </c>
      <c r="C14" s="1"/>
      <c r="D14" s="1"/>
      <c r="E14" s="1"/>
    </row>
    <row r="15" spans="1:5" x14ac:dyDescent="0.3">
      <c r="A15" s="1" t="s">
        <v>176</v>
      </c>
      <c r="B15" s="1" t="s">
        <v>121</v>
      </c>
      <c r="C15" s="1"/>
      <c r="D15" s="1"/>
      <c r="E15" s="1"/>
    </row>
    <row r="16" spans="1:5" x14ac:dyDescent="0.3">
      <c r="A16" s="1" t="s">
        <v>176</v>
      </c>
      <c r="B16" s="1" t="s">
        <v>122</v>
      </c>
      <c r="C16" s="1"/>
      <c r="D16" s="1"/>
      <c r="E16" s="1"/>
    </row>
    <row r="17" spans="1:5" x14ac:dyDescent="0.3">
      <c r="A17" s="1" t="s">
        <v>177</v>
      </c>
      <c r="B17" s="1" t="s">
        <v>138</v>
      </c>
      <c r="C17" s="1"/>
      <c r="D17" s="1"/>
      <c r="E17" s="1"/>
    </row>
    <row r="18" spans="1:5" x14ac:dyDescent="0.3">
      <c r="A18" s="1" t="s">
        <v>178</v>
      </c>
      <c r="B18" s="1" t="s">
        <v>137</v>
      </c>
      <c r="C18" s="1"/>
      <c r="D18" s="1"/>
      <c r="E18" s="1"/>
    </row>
    <row r="19" spans="1:5" x14ac:dyDescent="0.3">
      <c r="A19" s="1" t="s">
        <v>178</v>
      </c>
      <c r="B19" s="1" t="s">
        <v>123</v>
      </c>
      <c r="C19" s="1"/>
      <c r="D19" s="1"/>
      <c r="E19" s="1"/>
    </row>
    <row r="20" spans="1:5" x14ac:dyDescent="0.3">
      <c r="A20" s="1" t="s">
        <v>179</v>
      </c>
      <c r="B20" s="1" t="s">
        <v>135</v>
      </c>
      <c r="C20" s="1"/>
      <c r="D20" s="1"/>
      <c r="E20" s="1"/>
    </row>
    <row r="21" spans="1:5" x14ac:dyDescent="0.3">
      <c r="A21" s="1" t="s">
        <v>180</v>
      </c>
      <c r="B21" s="1" t="s">
        <v>125</v>
      </c>
      <c r="C21" s="1"/>
      <c r="D21" s="1"/>
      <c r="E21" s="1"/>
    </row>
    <row r="22" spans="1:5" x14ac:dyDescent="0.3">
      <c r="A22" s="1" t="s">
        <v>181</v>
      </c>
      <c r="B22" s="1" t="s">
        <v>135</v>
      </c>
      <c r="C22" s="1"/>
      <c r="D22" s="1"/>
      <c r="E22" s="1"/>
    </row>
    <row r="23" spans="1:5" x14ac:dyDescent="0.3">
      <c r="A23" s="1" t="s">
        <v>182</v>
      </c>
      <c r="B23" s="1" t="s">
        <v>136</v>
      </c>
      <c r="C23" s="1"/>
      <c r="D23" s="1"/>
      <c r="E23" s="1"/>
    </row>
    <row r="24" spans="1:5" x14ac:dyDescent="0.3">
      <c r="A24" s="1" t="s">
        <v>183</v>
      </c>
      <c r="B24" s="1" t="s">
        <v>140</v>
      </c>
      <c r="C24" s="1"/>
      <c r="D24" s="1"/>
      <c r="E24" s="1"/>
    </row>
    <row r="25" spans="1:5" x14ac:dyDescent="0.3">
      <c r="A25" s="1" t="s">
        <v>183</v>
      </c>
      <c r="B25" s="1" t="s">
        <v>134</v>
      </c>
      <c r="C25" s="1"/>
      <c r="D25" s="1"/>
      <c r="E25" s="1"/>
    </row>
    <row r="26" spans="1:5" x14ac:dyDescent="0.3">
      <c r="A26" s="1" t="s">
        <v>184</v>
      </c>
      <c r="B26" s="1" t="s">
        <v>131</v>
      </c>
      <c r="C26" s="1"/>
      <c r="D26" s="1"/>
      <c r="E26" s="1"/>
    </row>
    <row r="27" spans="1:5" x14ac:dyDescent="0.3">
      <c r="A27" s="1" t="s">
        <v>184</v>
      </c>
      <c r="B27" s="1" t="s">
        <v>133</v>
      </c>
      <c r="C27" s="1"/>
      <c r="D27" s="1"/>
      <c r="E27" s="1"/>
    </row>
    <row r="28" spans="1:5" x14ac:dyDescent="0.3">
      <c r="A28" s="1" t="s">
        <v>184</v>
      </c>
      <c r="B28" s="1" t="s">
        <v>129</v>
      </c>
      <c r="C28" s="1"/>
      <c r="D28" s="1"/>
      <c r="E28" s="1"/>
    </row>
    <row r="29" spans="1:5" x14ac:dyDescent="0.3">
      <c r="A29" s="1" t="s">
        <v>184</v>
      </c>
      <c r="B29" s="1" t="s">
        <v>132</v>
      </c>
      <c r="C29" s="1"/>
      <c r="D29" s="1"/>
      <c r="E29" s="1"/>
    </row>
    <row r="30" spans="1:5" x14ac:dyDescent="0.3">
      <c r="A30" s="1" t="s">
        <v>185</v>
      </c>
      <c r="B30" s="1" t="s">
        <v>136</v>
      </c>
      <c r="C30" s="1"/>
      <c r="D30" s="1"/>
      <c r="E30" s="1"/>
    </row>
    <row r="31" spans="1:5" x14ac:dyDescent="0.3">
      <c r="A31" s="1" t="s">
        <v>185</v>
      </c>
      <c r="B31" s="1" t="s">
        <v>127</v>
      </c>
      <c r="C31" s="1"/>
      <c r="D31" s="1"/>
      <c r="E31" s="1"/>
    </row>
    <row r="32" spans="1:5" x14ac:dyDescent="0.3">
      <c r="A32" s="1" t="s">
        <v>185</v>
      </c>
      <c r="B32" s="1" t="s">
        <v>128</v>
      </c>
      <c r="C32" s="1"/>
      <c r="D32" s="1"/>
      <c r="E32" s="1"/>
    </row>
    <row r="33" spans="1:5" x14ac:dyDescent="0.3">
      <c r="A33" s="1" t="s">
        <v>185</v>
      </c>
      <c r="B33" s="1" t="s">
        <v>142</v>
      </c>
      <c r="C33" s="1"/>
      <c r="D33" s="1"/>
      <c r="E33" s="1"/>
    </row>
    <row r="34" spans="1:5" x14ac:dyDescent="0.3">
      <c r="A34" s="1" t="s">
        <v>186</v>
      </c>
      <c r="B34" s="1" t="s">
        <v>187</v>
      </c>
      <c r="C34" s="1"/>
      <c r="D34" s="1"/>
      <c r="E34" s="1"/>
    </row>
    <row r="35" spans="1:5" x14ac:dyDescent="0.3">
      <c r="A35" s="1" t="s">
        <v>188</v>
      </c>
      <c r="B35" s="1" t="s">
        <v>157</v>
      </c>
      <c r="C35" s="1"/>
      <c r="D35" s="1"/>
      <c r="E35" s="1"/>
    </row>
    <row r="36" spans="1:5" x14ac:dyDescent="0.3">
      <c r="A36" s="1" t="s">
        <v>188</v>
      </c>
      <c r="B36" s="1" t="s">
        <v>158</v>
      </c>
      <c r="C36" s="1"/>
      <c r="D36" s="1"/>
      <c r="E36" s="1"/>
    </row>
    <row r="37" spans="1:5" x14ac:dyDescent="0.3">
      <c r="A37" s="1" t="s">
        <v>189</v>
      </c>
      <c r="B37" s="1" t="s">
        <v>159</v>
      </c>
      <c r="C37" s="1"/>
      <c r="D37" s="1"/>
      <c r="E37" s="1"/>
    </row>
    <row r="38" spans="1:5" x14ac:dyDescent="0.3">
      <c r="A38" s="1" t="s">
        <v>189</v>
      </c>
      <c r="B38" s="1" t="s">
        <v>160</v>
      </c>
      <c r="C38" s="1"/>
      <c r="D38" s="1"/>
      <c r="E38" s="1"/>
    </row>
    <row r="39" spans="1:5" x14ac:dyDescent="0.3">
      <c r="A39" s="1" t="s">
        <v>189</v>
      </c>
      <c r="B39" s="1" t="s">
        <v>161</v>
      </c>
      <c r="C39" s="1"/>
      <c r="D39" s="1"/>
      <c r="E39" s="1"/>
    </row>
    <row r="40" spans="1:5" x14ac:dyDescent="0.3">
      <c r="A40" s="1" t="s">
        <v>190</v>
      </c>
      <c r="B40" s="1" t="s">
        <v>162</v>
      </c>
      <c r="C40" s="1"/>
      <c r="D40" s="1"/>
      <c r="E40" s="1"/>
    </row>
    <row r="41" spans="1:5" x14ac:dyDescent="0.3">
      <c r="A41" s="1" t="s">
        <v>191</v>
      </c>
      <c r="B41" s="1" t="s">
        <v>163</v>
      </c>
      <c r="C41" s="1"/>
      <c r="D41" s="1"/>
      <c r="E41" s="1"/>
    </row>
    <row r="42" spans="1:5" x14ac:dyDescent="0.3">
      <c r="A42" s="1" t="s">
        <v>192</v>
      </c>
      <c r="B42" s="1" t="s">
        <v>164</v>
      </c>
      <c r="C42" s="1"/>
      <c r="D42" s="1"/>
      <c r="E42" s="1"/>
    </row>
    <row r="43" spans="1:5" x14ac:dyDescent="0.3">
      <c r="A43" s="1" t="s">
        <v>192</v>
      </c>
      <c r="B43" s="1" t="s">
        <v>165</v>
      </c>
      <c r="C43" s="1"/>
      <c r="D43" s="1"/>
      <c r="E43" s="1"/>
    </row>
    <row r="44" spans="1:5" x14ac:dyDescent="0.3">
      <c r="A44" s="1" t="s">
        <v>192</v>
      </c>
      <c r="B44" s="1" t="s">
        <v>166</v>
      </c>
      <c r="C44" s="1"/>
      <c r="D44" s="1"/>
      <c r="E44" s="1"/>
    </row>
    <row r="45" spans="1:5" x14ac:dyDescent="0.3">
      <c r="A45" s="1" t="s">
        <v>193</v>
      </c>
      <c r="B45" s="1" t="s">
        <v>167</v>
      </c>
      <c r="C45" s="1"/>
      <c r="D45" s="1"/>
      <c r="E45" s="1"/>
    </row>
    <row r="46" spans="1:5" x14ac:dyDescent="0.3">
      <c r="A46" s="1" t="s">
        <v>193</v>
      </c>
      <c r="B46" s="1" t="s">
        <v>169</v>
      </c>
      <c r="C46" s="1"/>
      <c r="D46" s="1"/>
      <c r="E46" s="1"/>
    </row>
    <row r="47" spans="1:5" x14ac:dyDescent="0.3">
      <c r="A47" s="1" t="s">
        <v>194</v>
      </c>
      <c r="B47" s="1" t="s">
        <v>168</v>
      </c>
      <c r="C47" s="1"/>
      <c r="D47" s="1"/>
      <c r="E47" s="1"/>
    </row>
  </sheetData>
  <pageMargins left="0.7" right="0.7" top="0.75" bottom="0.75" header="0.3" footer="0.3"/>
  <pageSetup scale="73" orientation="landscape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47"/>
  <sheetViews>
    <sheetView workbookViewId="0">
      <selection sqref="A1:E47"/>
    </sheetView>
  </sheetViews>
  <sheetFormatPr defaultRowHeight="14.4" x14ac:dyDescent="0.3"/>
  <cols>
    <col min="1" max="1" width="26.33203125" bestFit="1" customWidth="1"/>
    <col min="2" max="2" width="80.44140625" bestFit="1" customWidth="1"/>
  </cols>
  <sheetData>
    <row r="1" spans="1:5" x14ac:dyDescent="0.3">
      <c r="A1" s="1" t="s">
        <v>206</v>
      </c>
      <c r="B1" s="1"/>
      <c r="C1" s="1" t="s">
        <v>205</v>
      </c>
      <c r="D1" s="1" t="s">
        <v>203</v>
      </c>
      <c r="E1" s="1" t="s">
        <v>200</v>
      </c>
    </row>
    <row r="2" spans="1:5" x14ac:dyDescent="0.3">
      <c r="A2" s="1" t="s">
        <v>170</v>
      </c>
      <c r="B2" s="1" t="s">
        <v>124</v>
      </c>
      <c r="C2" s="1"/>
      <c r="D2" s="1"/>
      <c r="E2" s="1"/>
    </row>
    <row r="3" spans="1:5" x14ac:dyDescent="0.3">
      <c r="A3" s="1" t="s">
        <v>171</v>
      </c>
      <c r="B3" s="1" t="s">
        <v>141</v>
      </c>
      <c r="C3" s="1"/>
      <c r="D3" s="1"/>
      <c r="E3" s="1"/>
    </row>
    <row r="4" spans="1:5" x14ac:dyDescent="0.3">
      <c r="A4" s="1" t="s">
        <v>172</v>
      </c>
      <c r="B4" s="1" t="s">
        <v>139</v>
      </c>
      <c r="C4" s="1"/>
      <c r="D4" s="1"/>
      <c r="E4" s="1"/>
    </row>
    <row r="5" spans="1:5" x14ac:dyDescent="0.3">
      <c r="A5" s="1" t="s">
        <v>172</v>
      </c>
      <c r="B5" s="1" t="s">
        <v>113</v>
      </c>
      <c r="C5" s="1"/>
      <c r="D5" s="1"/>
      <c r="E5" s="1"/>
    </row>
    <row r="6" spans="1:5" x14ac:dyDescent="0.3">
      <c r="A6" s="1" t="s">
        <v>172</v>
      </c>
      <c r="B6" s="1" t="s">
        <v>114</v>
      </c>
      <c r="C6" s="1"/>
      <c r="D6" s="1"/>
      <c r="E6" s="1"/>
    </row>
    <row r="7" spans="1:5" x14ac:dyDescent="0.3">
      <c r="A7" s="1" t="s">
        <v>172</v>
      </c>
      <c r="B7" s="1" t="s">
        <v>115</v>
      </c>
      <c r="C7" s="1"/>
      <c r="D7" s="1"/>
      <c r="E7" s="1"/>
    </row>
    <row r="8" spans="1:5" x14ac:dyDescent="0.3">
      <c r="A8" s="1" t="s">
        <v>173</v>
      </c>
      <c r="B8" s="1" t="s">
        <v>143</v>
      </c>
      <c r="C8" s="1"/>
      <c r="D8" s="1"/>
      <c r="E8" s="1"/>
    </row>
    <row r="9" spans="1:5" x14ac:dyDescent="0.3">
      <c r="A9" s="1" t="s">
        <v>174</v>
      </c>
      <c r="B9" s="1" t="s">
        <v>116</v>
      </c>
      <c r="C9" s="1"/>
      <c r="D9" s="1"/>
      <c r="E9" s="1"/>
    </row>
    <row r="10" spans="1:5" x14ac:dyDescent="0.3">
      <c r="A10" s="1" t="s">
        <v>174</v>
      </c>
      <c r="B10" s="1" t="s">
        <v>117</v>
      </c>
      <c r="C10" s="1"/>
      <c r="D10" s="1"/>
      <c r="E10" s="1"/>
    </row>
    <row r="11" spans="1:5" x14ac:dyDescent="0.3">
      <c r="A11" s="1" t="s">
        <v>174</v>
      </c>
      <c r="B11" s="1" t="s">
        <v>118</v>
      </c>
      <c r="C11" s="1"/>
      <c r="D11" s="1"/>
      <c r="E11" s="1"/>
    </row>
    <row r="12" spans="1:5" x14ac:dyDescent="0.3">
      <c r="A12" s="1" t="s">
        <v>175</v>
      </c>
      <c r="B12" s="1" t="s">
        <v>119</v>
      </c>
      <c r="C12" s="1"/>
      <c r="D12" s="1"/>
      <c r="E12" s="1"/>
    </row>
    <row r="13" spans="1:5" x14ac:dyDescent="0.3">
      <c r="A13" s="1" t="s">
        <v>175</v>
      </c>
      <c r="B13" s="1" t="s">
        <v>130</v>
      </c>
      <c r="C13" s="1"/>
      <c r="D13" s="1"/>
      <c r="E13" s="1"/>
    </row>
    <row r="14" spans="1:5" x14ac:dyDescent="0.3">
      <c r="A14" s="1" t="s">
        <v>176</v>
      </c>
      <c r="B14" s="1" t="s">
        <v>120</v>
      </c>
      <c r="C14" s="1"/>
      <c r="D14" s="1"/>
      <c r="E14" s="1"/>
    </row>
    <row r="15" spans="1:5" x14ac:dyDescent="0.3">
      <c r="A15" s="1" t="s">
        <v>176</v>
      </c>
      <c r="B15" s="1" t="s">
        <v>121</v>
      </c>
      <c r="C15" s="1"/>
      <c r="D15" s="1"/>
      <c r="E15" s="1"/>
    </row>
    <row r="16" spans="1:5" x14ac:dyDescent="0.3">
      <c r="A16" s="1" t="s">
        <v>176</v>
      </c>
      <c r="B16" s="1" t="s">
        <v>122</v>
      </c>
      <c r="C16" s="1"/>
      <c r="D16" s="1"/>
      <c r="E16" s="1"/>
    </row>
    <row r="17" spans="1:5" x14ac:dyDescent="0.3">
      <c r="A17" s="1" t="s">
        <v>177</v>
      </c>
      <c r="B17" s="1" t="s">
        <v>138</v>
      </c>
      <c r="C17" s="1"/>
      <c r="D17" s="1"/>
      <c r="E17" s="1"/>
    </row>
    <row r="18" spans="1:5" x14ac:dyDescent="0.3">
      <c r="A18" s="1" t="s">
        <v>178</v>
      </c>
      <c r="B18" s="1" t="s">
        <v>137</v>
      </c>
      <c r="C18" s="1"/>
      <c r="D18" s="1"/>
      <c r="E18" s="1"/>
    </row>
    <row r="19" spans="1:5" x14ac:dyDescent="0.3">
      <c r="A19" s="1" t="s">
        <v>178</v>
      </c>
      <c r="B19" s="1" t="s">
        <v>123</v>
      </c>
      <c r="C19" s="1"/>
      <c r="D19" s="1"/>
      <c r="E19" s="1"/>
    </row>
    <row r="20" spans="1:5" x14ac:dyDescent="0.3">
      <c r="A20" s="1" t="s">
        <v>179</v>
      </c>
      <c r="B20" s="1" t="s">
        <v>135</v>
      </c>
      <c r="C20" s="1"/>
      <c r="D20" s="1"/>
      <c r="E20" s="1"/>
    </row>
    <row r="21" spans="1:5" x14ac:dyDescent="0.3">
      <c r="A21" s="1" t="s">
        <v>180</v>
      </c>
      <c r="B21" s="1" t="s">
        <v>125</v>
      </c>
      <c r="C21" s="1"/>
      <c r="D21" s="1"/>
      <c r="E21" s="1"/>
    </row>
    <row r="22" spans="1:5" x14ac:dyDescent="0.3">
      <c r="A22" s="1" t="s">
        <v>181</v>
      </c>
      <c r="B22" s="1" t="s">
        <v>135</v>
      </c>
      <c r="C22" s="1"/>
      <c r="D22" s="1"/>
      <c r="E22" s="1"/>
    </row>
    <row r="23" spans="1:5" x14ac:dyDescent="0.3">
      <c r="A23" s="1" t="s">
        <v>182</v>
      </c>
      <c r="B23" s="1" t="s">
        <v>136</v>
      </c>
      <c r="C23" s="1"/>
      <c r="D23" s="1"/>
      <c r="E23" s="1"/>
    </row>
    <row r="24" spans="1:5" x14ac:dyDescent="0.3">
      <c r="A24" s="1" t="s">
        <v>183</v>
      </c>
      <c r="B24" s="1" t="s">
        <v>140</v>
      </c>
      <c r="C24" s="1"/>
      <c r="D24" s="1"/>
      <c r="E24" s="1"/>
    </row>
    <row r="25" spans="1:5" x14ac:dyDescent="0.3">
      <c r="A25" s="1" t="s">
        <v>183</v>
      </c>
      <c r="B25" s="1" t="s">
        <v>134</v>
      </c>
      <c r="C25" s="1"/>
      <c r="D25" s="1"/>
      <c r="E25" s="1"/>
    </row>
    <row r="26" spans="1:5" x14ac:dyDescent="0.3">
      <c r="A26" s="1" t="s">
        <v>184</v>
      </c>
      <c r="B26" s="1" t="s">
        <v>131</v>
      </c>
      <c r="C26" s="1"/>
      <c r="D26" s="1"/>
      <c r="E26" s="1"/>
    </row>
    <row r="27" spans="1:5" x14ac:dyDescent="0.3">
      <c r="A27" s="1" t="s">
        <v>184</v>
      </c>
      <c r="B27" s="1" t="s">
        <v>133</v>
      </c>
      <c r="C27" s="1"/>
      <c r="D27" s="1"/>
      <c r="E27" s="1"/>
    </row>
    <row r="28" spans="1:5" x14ac:dyDescent="0.3">
      <c r="A28" s="1" t="s">
        <v>184</v>
      </c>
      <c r="B28" s="1" t="s">
        <v>129</v>
      </c>
      <c r="C28" s="1"/>
      <c r="D28" s="1"/>
      <c r="E28" s="1"/>
    </row>
    <row r="29" spans="1:5" x14ac:dyDescent="0.3">
      <c r="A29" s="1" t="s">
        <v>184</v>
      </c>
      <c r="B29" s="1" t="s">
        <v>132</v>
      </c>
      <c r="C29" s="1"/>
      <c r="D29" s="1"/>
      <c r="E29" s="1"/>
    </row>
    <row r="30" spans="1:5" x14ac:dyDescent="0.3">
      <c r="A30" s="1" t="s">
        <v>185</v>
      </c>
      <c r="B30" s="1" t="s">
        <v>136</v>
      </c>
      <c r="C30" s="1"/>
      <c r="D30" s="1"/>
      <c r="E30" s="1"/>
    </row>
    <row r="31" spans="1:5" x14ac:dyDescent="0.3">
      <c r="A31" s="1" t="s">
        <v>185</v>
      </c>
      <c r="B31" s="1" t="s">
        <v>127</v>
      </c>
      <c r="C31" s="1"/>
      <c r="D31" s="1"/>
      <c r="E31" s="1"/>
    </row>
    <row r="32" spans="1:5" x14ac:dyDescent="0.3">
      <c r="A32" s="1" t="s">
        <v>185</v>
      </c>
      <c r="B32" s="1" t="s">
        <v>128</v>
      </c>
      <c r="C32" s="1"/>
      <c r="D32" s="1"/>
      <c r="E32" s="1"/>
    </row>
    <row r="33" spans="1:5" x14ac:dyDescent="0.3">
      <c r="A33" s="1" t="s">
        <v>185</v>
      </c>
      <c r="B33" s="1" t="s">
        <v>142</v>
      </c>
      <c r="C33" s="1"/>
      <c r="D33" s="1"/>
      <c r="E33" s="1"/>
    </row>
    <row r="34" spans="1:5" x14ac:dyDescent="0.3">
      <c r="A34" s="1" t="s">
        <v>186</v>
      </c>
      <c r="B34" s="1" t="s">
        <v>187</v>
      </c>
      <c r="C34" s="1"/>
      <c r="D34" s="1"/>
      <c r="E34" s="1"/>
    </row>
    <row r="35" spans="1:5" x14ac:dyDescent="0.3">
      <c r="A35" s="1" t="s">
        <v>188</v>
      </c>
      <c r="B35" s="1" t="s">
        <v>157</v>
      </c>
      <c r="C35" s="1"/>
      <c r="D35" s="1"/>
      <c r="E35" s="1"/>
    </row>
    <row r="36" spans="1:5" x14ac:dyDescent="0.3">
      <c r="A36" s="1" t="s">
        <v>188</v>
      </c>
      <c r="B36" s="1" t="s">
        <v>158</v>
      </c>
      <c r="C36" s="1"/>
      <c r="D36" s="1"/>
      <c r="E36" s="1"/>
    </row>
    <row r="37" spans="1:5" x14ac:dyDescent="0.3">
      <c r="A37" s="1" t="s">
        <v>189</v>
      </c>
      <c r="B37" s="1" t="s">
        <v>159</v>
      </c>
      <c r="C37" s="1"/>
      <c r="D37" s="1"/>
      <c r="E37" s="1"/>
    </row>
    <row r="38" spans="1:5" x14ac:dyDescent="0.3">
      <c r="A38" s="1" t="s">
        <v>189</v>
      </c>
      <c r="B38" s="1" t="s">
        <v>160</v>
      </c>
      <c r="C38" s="1"/>
      <c r="D38" s="1"/>
      <c r="E38" s="1"/>
    </row>
    <row r="39" spans="1:5" x14ac:dyDescent="0.3">
      <c r="A39" s="1" t="s">
        <v>189</v>
      </c>
      <c r="B39" s="1" t="s">
        <v>161</v>
      </c>
      <c r="C39" s="1"/>
      <c r="D39" s="1"/>
      <c r="E39" s="1"/>
    </row>
    <row r="40" spans="1:5" x14ac:dyDescent="0.3">
      <c r="A40" s="1" t="s">
        <v>190</v>
      </c>
      <c r="B40" s="1" t="s">
        <v>162</v>
      </c>
      <c r="C40" s="1"/>
      <c r="D40" s="1"/>
      <c r="E40" s="1"/>
    </row>
    <row r="41" spans="1:5" x14ac:dyDescent="0.3">
      <c r="A41" s="1" t="s">
        <v>191</v>
      </c>
      <c r="B41" s="1" t="s">
        <v>163</v>
      </c>
      <c r="C41" s="1"/>
      <c r="D41" s="1"/>
      <c r="E41" s="1"/>
    </row>
    <row r="42" spans="1:5" x14ac:dyDescent="0.3">
      <c r="A42" s="1" t="s">
        <v>192</v>
      </c>
      <c r="B42" s="1" t="s">
        <v>164</v>
      </c>
      <c r="C42" s="1"/>
      <c r="D42" s="1"/>
      <c r="E42" s="1"/>
    </row>
    <row r="43" spans="1:5" x14ac:dyDescent="0.3">
      <c r="A43" s="1" t="s">
        <v>192</v>
      </c>
      <c r="B43" s="1" t="s">
        <v>165</v>
      </c>
      <c r="C43" s="1"/>
      <c r="D43" s="1"/>
      <c r="E43" s="1"/>
    </row>
    <row r="44" spans="1:5" x14ac:dyDescent="0.3">
      <c r="A44" s="1" t="s">
        <v>192</v>
      </c>
      <c r="B44" s="1" t="s">
        <v>166</v>
      </c>
      <c r="C44" s="1"/>
      <c r="D44" s="1"/>
      <c r="E44" s="1"/>
    </row>
    <row r="45" spans="1:5" x14ac:dyDescent="0.3">
      <c r="A45" s="1" t="s">
        <v>193</v>
      </c>
      <c r="B45" s="1" t="s">
        <v>167</v>
      </c>
      <c r="C45" s="1"/>
      <c r="D45" s="1"/>
      <c r="E45" s="1"/>
    </row>
    <row r="46" spans="1:5" x14ac:dyDescent="0.3">
      <c r="A46" s="1" t="s">
        <v>193</v>
      </c>
      <c r="B46" s="1" t="s">
        <v>169</v>
      </c>
      <c r="C46" s="1"/>
      <c r="D46" s="1"/>
      <c r="E46" s="1"/>
    </row>
    <row r="47" spans="1:5" x14ac:dyDescent="0.3">
      <c r="A47" s="1" t="s">
        <v>194</v>
      </c>
      <c r="B47" s="1" t="s">
        <v>168</v>
      </c>
      <c r="C47" s="1"/>
      <c r="D47" s="1"/>
      <c r="E47" s="1"/>
    </row>
  </sheetData>
  <pageMargins left="0.7" right="0.7" top="0.75" bottom="0.75" header="0.3" footer="0.3"/>
  <pageSetup scale="73" orientation="landscape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47"/>
  <sheetViews>
    <sheetView workbookViewId="0">
      <selection activeCell="B11" sqref="B11"/>
    </sheetView>
  </sheetViews>
  <sheetFormatPr defaultRowHeight="14.4" x14ac:dyDescent="0.3"/>
  <cols>
    <col min="1" max="1" width="26.33203125" bestFit="1" customWidth="1"/>
    <col min="2" max="2" width="80.44140625" bestFit="1" customWidth="1"/>
  </cols>
  <sheetData>
    <row r="1" spans="1:5" x14ac:dyDescent="0.3">
      <c r="A1" s="1" t="s">
        <v>207</v>
      </c>
      <c r="B1" s="1"/>
      <c r="C1" s="1" t="s">
        <v>203</v>
      </c>
      <c r="D1" s="1" t="s">
        <v>199</v>
      </c>
      <c r="E1" s="1" t="s">
        <v>200</v>
      </c>
    </row>
    <row r="2" spans="1:5" x14ac:dyDescent="0.3">
      <c r="A2" s="1" t="s">
        <v>170</v>
      </c>
      <c r="B2" s="1" t="s">
        <v>124</v>
      </c>
      <c r="C2" s="1"/>
      <c r="D2" s="1"/>
      <c r="E2" s="1"/>
    </row>
    <row r="3" spans="1:5" x14ac:dyDescent="0.3">
      <c r="A3" s="1" t="s">
        <v>171</v>
      </c>
      <c r="B3" s="1" t="s">
        <v>141</v>
      </c>
      <c r="C3" s="1"/>
      <c r="D3" s="1"/>
      <c r="E3" s="1"/>
    </row>
    <row r="4" spans="1:5" x14ac:dyDescent="0.3">
      <c r="A4" s="1" t="s">
        <v>172</v>
      </c>
      <c r="B4" s="1" t="s">
        <v>139</v>
      </c>
      <c r="C4" s="1"/>
      <c r="D4" s="1"/>
      <c r="E4" s="1"/>
    </row>
    <row r="5" spans="1:5" x14ac:dyDescent="0.3">
      <c r="A5" s="1" t="s">
        <v>172</v>
      </c>
      <c r="B5" s="1" t="s">
        <v>113</v>
      </c>
      <c r="C5" s="1"/>
      <c r="D5" s="1"/>
      <c r="E5" s="1"/>
    </row>
    <row r="6" spans="1:5" x14ac:dyDescent="0.3">
      <c r="A6" s="1" t="s">
        <v>172</v>
      </c>
      <c r="B6" s="1" t="s">
        <v>114</v>
      </c>
      <c r="C6" s="1"/>
      <c r="D6" s="1"/>
      <c r="E6" s="1"/>
    </row>
    <row r="7" spans="1:5" x14ac:dyDescent="0.3">
      <c r="A7" s="1" t="s">
        <v>172</v>
      </c>
      <c r="B7" s="1" t="s">
        <v>115</v>
      </c>
      <c r="C7" s="1"/>
      <c r="D7" s="1"/>
      <c r="E7" s="1"/>
    </row>
    <row r="8" spans="1:5" x14ac:dyDescent="0.3">
      <c r="A8" s="1" t="s">
        <v>173</v>
      </c>
      <c r="B8" s="1" t="s">
        <v>143</v>
      </c>
      <c r="C8" s="1"/>
      <c r="D8" s="1"/>
      <c r="E8" s="1"/>
    </row>
    <row r="9" spans="1:5" x14ac:dyDescent="0.3">
      <c r="A9" s="1" t="s">
        <v>174</v>
      </c>
      <c r="B9" s="1" t="s">
        <v>116</v>
      </c>
      <c r="C9" s="1"/>
      <c r="D9" s="1"/>
      <c r="E9" s="1"/>
    </row>
    <row r="10" spans="1:5" x14ac:dyDescent="0.3">
      <c r="A10" s="1" t="s">
        <v>174</v>
      </c>
      <c r="B10" s="1" t="s">
        <v>117</v>
      </c>
      <c r="C10" s="1"/>
      <c r="D10" s="1"/>
      <c r="E10" s="1"/>
    </row>
    <row r="11" spans="1:5" x14ac:dyDescent="0.3">
      <c r="A11" s="1" t="s">
        <v>174</v>
      </c>
      <c r="B11" s="1" t="s">
        <v>118</v>
      </c>
      <c r="C11" s="1"/>
      <c r="D11" s="1"/>
      <c r="E11" s="1"/>
    </row>
    <row r="12" spans="1:5" x14ac:dyDescent="0.3">
      <c r="A12" s="1" t="s">
        <v>175</v>
      </c>
      <c r="B12" s="1" t="s">
        <v>119</v>
      </c>
      <c r="C12" s="1"/>
      <c r="D12" s="1"/>
      <c r="E12" s="1"/>
    </row>
    <row r="13" spans="1:5" x14ac:dyDescent="0.3">
      <c r="A13" s="1" t="s">
        <v>175</v>
      </c>
      <c r="B13" s="1" t="s">
        <v>130</v>
      </c>
      <c r="C13" s="1"/>
      <c r="D13" s="1"/>
      <c r="E13" s="1"/>
    </row>
    <row r="14" spans="1:5" x14ac:dyDescent="0.3">
      <c r="A14" s="1" t="s">
        <v>176</v>
      </c>
      <c r="B14" s="1" t="s">
        <v>120</v>
      </c>
      <c r="C14" s="1"/>
      <c r="D14" s="1"/>
      <c r="E14" s="1"/>
    </row>
    <row r="15" spans="1:5" x14ac:dyDescent="0.3">
      <c r="A15" s="1" t="s">
        <v>176</v>
      </c>
      <c r="B15" s="1" t="s">
        <v>121</v>
      </c>
      <c r="C15" s="1"/>
      <c r="D15" s="1"/>
      <c r="E15" s="1"/>
    </row>
    <row r="16" spans="1:5" x14ac:dyDescent="0.3">
      <c r="A16" s="1" t="s">
        <v>176</v>
      </c>
      <c r="B16" s="1" t="s">
        <v>122</v>
      </c>
      <c r="C16" s="1"/>
      <c r="D16" s="1"/>
      <c r="E16" s="1"/>
    </row>
    <row r="17" spans="1:5" x14ac:dyDescent="0.3">
      <c r="A17" s="1" t="s">
        <v>177</v>
      </c>
      <c r="B17" s="1" t="s">
        <v>138</v>
      </c>
      <c r="C17" s="1"/>
      <c r="D17" s="1"/>
      <c r="E17" s="1"/>
    </row>
    <row r="18" spans="1:5" x14ac:dyDescent="0.3">
      <c r="A18" s="1" t="s">
        <v>178</v>
      </c>
      <c r="B18" s="1" t="s">
        <v>137</v>
      </c>
      <c r="C18" s="1"/>
      <c r="D18" s="1"/>
      <c r="E18" s="1"/>
    </row>
    <row r="19" spans="1:5" x14ac:dyDescent="0.3">
      <c r="A19" s="1" t="s">
        <v>178</v>
      </c>
      <c r="B19" s="1" t="s">
        <v>123</v>
      </c>
      <c r="C19" s="1"/>
      <c r="D19" s="1"/>
      <c r="E19" s="1"/>
    </row>
    <row r="20" spans="1:5" x14ac:dyDescent="0.3">
      <c r="A20" s="1" t="s">
        <v>179</v>
      </c>
      <c r="B20" s="1" t="s">
        <v>135</v>
      </c>
      <c r="C20" s="1"/>
      <c r="D20" s="1"/>
      <c r="E20" s="1"/>
    </row>
    <row r="21" spans="1:5" x14ac:dyDescent="0.3">
      <c r="A21" s="1" t="s">
        <v>180</v>
      </c>
      <c r="B21" s="1" t="s">
        <v>125</v>
      </c>
      <c r="C21" s="1"/>
      <c r="D21" s="1"/>
      <c r="E21" s="1"/>
    </row>
    <row r="22" spans="1:5" x14ac:dyDescent="0.3">
      <c r="A22" s="1" t="s">
        <v>181</v>
      </c>
      <c r="B22" s="1" t="s">
        <v>135</v>
      </c>
      <c r="C22" s="1"/>
      <c r="D22" s="1"/>
      <c r="E22" s="1"/>
    </row>
    <row r="23" spans="1:5" x14ac:dyDescent="0.3">
      <c r="A23" s="1" t="s">
        <v>182</v>
      </c>
      <c r="B23" s="1" t="s">
        <v>136</v>
      </c>
      <c r="C23" s="1"/>
      <c r="D23" s="1"/>
      <c r="E23" s="1"/>
    </row>
    <row r="24" spans="1:5" x14ac:dyDescent="0.3">
      <c r="A24" s="1" t="s">
        <v>183</v>
      </c>
      <c r="B24" s="1" t="s">
        <v>140</v>
      </c>
      <c r="C24" s="1"/>
      <c r="D24" s="1"/>
      <c r="E24" s="1"/>
    </row>
    <row r="25" spans="1:5" x14ac:dyDescent="0.3">
      <c r="A25" s="1" t="s">
        <v>183</v>
      </c>
      <c r="B25" s="1" t="s">
        <v>134</v>
      </c>
      <c r="C25" s="1"/>
      <c r="D25" s="1"/>
      <c r="E25" s="1"/>
    </row>
    <row r="26" spans="1:5" x14ac:dyDescent="0.3">
      <c r="A26" s="1" t="s">
        <v>184</v>
      </c>
      <c r="B26" s="1" t="s">
        <v>131</v>
      </c>
      <c r="C26" s="1"/>
      <c r="D26" s="1"/>
      <c r="E26" s="1"/>
    </row>
    <row r="27" spans="1:5" x14ac:dyDescent="0.3">
      <c r="A27" s="1" t="s">
        <v>184</v>
      </c>
      <c r="B27" s="1" t="s">
        <v>133</v>
      </c>
      <c r="C27" s="1"/>
      <c r="D27" s="1"/>
      <c r="E27" s="1"/>
    </row>
    <row r="28" spans="1:5" x14ac:dyDescent="0.3">
      <c r="A28" s="1" t="s">
        <v>184</v>
      </c>
      <c r="B28" s="1" t="s">
        <v>129</v>
      </c>
      <c r="C28" s="1"/>
      <c r="D28" s="1"/>
      <c r="E28" s="1"/>
    </row>
    <row r="29" spans="1:5" x14ac:dyDescent="0.3">
      <c r="A29" s="1" t="s">
        <v>184</v>
      </c>
      <c r="B29" s="1" t="s">
        <v>132</v>
      </c>
      <c r="C29" s="1"/>
      <c r="D29" s="1"/>
      <c r="E29" s="1"/>
    </row>
    <row r="30" spans="1:5" x14ac:dyDescent="0.3">
      <c r="A30" s="1" t="s">
        <v>185</v>
      </c>
      <c r="B30" s="1" t="s">
        <v>136</v>
      </c>
      <c r="C30" s="1"/>
      <c r="D30" s="1"/>
      <c r="E30" s="1"/>
    </row>
    <row r="31" spans="1:5" x14ac:dyDescent="0.3">
      <c r="A31" s="1" t="s">
        <v>185</v>
      </c>
      <c r="B31" s="1" t="s">
        <v>127</v>
      </c>
      <c r="C31" s="1"/>
      <c r="D31" s="1"/>
      <c r="E31" s="1"/>
    </row>
    <row r="32" spans="1:5" x14ac:dyDescent="0.3">
      <c r="A32" s="1" t="s">
        <v>185</v>
      </c>
      <c r="B32" s="1" t="s">
        <v>128</v>
      </c>
      <c r="C32" s="1"/>
      <c r="D32" s="1"/>
      <c r="E32" s="1"/>
    </row>
    <row r="33" spans="1:5" x14ac:dyDescent="0.3">
      <c r="A33" s="1" t="s">
        <v>185</v>
      </c>
      <c r="B33" s="1" t="s">
        <v>142</v>
      </c>
      <c r="C33" s="1"/>
      <c r="D33" s="1"/>
      <c r="E33" s="1"/>
    </row>
    <row r="34" spans="1:5" x14ac:dyDescent="0.3">
      <c r="A34" s="1" t="s">
        <v>186</v>
      </c>
      <c r="B34" s="1" t="s">
        <v>187</v>
      </c>
      <c r="C34" s="1"/>
      <c r="D34" s="1"/>
      <c r="E34" s="1"/>
    </row>
    <row r="35" spans="1:5" x14ac:dyDescent="0.3">
      <c r="A35" s="1" t="s">
        <v>188</v>
      </c>
      <c r="B35" s="1" t="s">
        <v>157</v>
      </c>
      <c r="C35" s="1"/>
      <c r="D35" s="1"/>
      <c r="E35" s="1"/>
    </row>
    <row r="36" spans="1:5" x14ac:dyDescent="0.3">
      <c r="A36" s="1" t="s">
        <v>188</v>
      </c>
      <c r="B36" s="1" t="s">
        <v>158</v>
      </c>
      <c r="C36" s="1"/>
      <c r="D36" s="1"/>
      <c r="E36" s="1"/>
    </row>
    <row r="37" spans="1:5" x14ac:dyDescent="0.3">
      <c r="A37" s="1" t="s">
        <v>189</v>
      </c>
      <c r="B37" s="1" t="s">
        <v>159</v>
      </c>
      <c r="C37" s="1"/>
      <c r="D37" s="1"/>
      <c r="E37" s="1"/>
    </row>
    <row r="38" spans="1:5" x14ac:dyDescent="0.3">
      <c r="A38" s="1" t="s">
        <v>189</v>
      </c>
      <c r="B38" s="1" t="s">
        <v>160</v>
      </c>
      <c r="C38" s="1"/>
      <c r="D38" s="1"/>
      <c r="E38" s="1"/>
    </row>
    <row r="39" spans="1:5" x14ac:dyDescent="0.3">
      <c r="A39" s="1" t="s">
        <v>189</v>
      </c>
      <c r="B39" s="1" t="s">
        <v>161</v>
      </c>
      <c r="C39" s="1"/>
      <c r="D39" s="1"/>
      <c r="E39" s="1"/>
    </row>
    <row r="40" spans="1:5" x14ac:dyDescent="0.3">
      <c r="A40" s="1" t="s">
        <v>190</v>
      </c>
      <c r="B40" s="1" t="s">
        <v>162</v>
      </c>
      <c r="C40" s="1"/>
      <c r="D40" s="1"/>
      <c r="E40" s="1"/>
    </row>
    <row r="41" spans="1:5" x14ac:dyDescent="0.3">
      <c r="A41" s="1" t="s">
        <v>191</v>
      </c>
      <c r="B41" s="1" t="s">
        <v>163</v>
      </c>
      <c r="C41" s="1"/>
      <c r="D41" s="1"/>
      <c r="E41" s="1"/>
    </row>
    <row r="42" spans="1:5" x14ac:dyDescent="0.3">
      <c r="A42" s="1" t="s">
        <v>192</v>
      </c>
      <c r="B42" s="1" t="s">
        <v>164</v>
      </c>
      <c r="C42" s="1"/>
      <c r="D42" s="1"/>
      <c r="E42" s="1"/>
    </row>
    <row r="43" spans="1:5" x14ac:dyDescent="0.3">
      <c r="A43" s="1" t="s">
        <v>192</v>
      </c>
      <c r="B43" s="1" t="s">
        <v>165</v>
      </c>
      <c r="C43" s="1"/>
      <c r="D43" s="1"/>
      <c r="E43" s="1"/>
    </row>
    <row r="44" spans="1:5" x14ac:dyDescent="0.3">
      <c r="A44" s="1" t="s">
        <v>192</v>
      </c>
      <c r="B44" s="1" t="s">
        <v>166</v>
      </c>
      <c r="C44" s="1"/>
      <c r="D44" s="1"/>
      <c r="E44" s="1"/>
    </row>
    <row r="45" spans="1:5" x14ac:dyDescent="0.3">
      <c r="A45" s="1" t="s">
        <v>193</v>
      </c>
      <c r="B45" s="1" t="s">
        <v>167</v>
      </c>
      <c r="C45" s="1"/>
      <c r="D45" s="1"/>
      <c r="E45" s="1"/>
    </row>
    <row r="46" spans="1:5" x14ac:dyDescent="0.3">
      <c r="A46" s="1" t="s">
        <v>193</v>
      </c>
      <c r="B46" s="1" t="s">
        <v>169</v>
      </c>
      <c r="C46" s="1"/>
      <c r="D46" s="1"/>
      <c r="E46" s="1"/>
    </row>
    <row r="47" spans="1:5" x14ac:dyDescent="0.3">
      <c r="A47" s="1" t="s">
        <v>194</v>
      </c>
      <c r="B47" s="1" t="s">
        <v>168</v>
      </c>
      <c r="C47" s="1"/>
      <c r="D47" s="1"/>
      <c r="E47" s="1"/>
    </row>
  </sheetData>
  <pageMargins left="0.7" right="0.7" top="0.75" bottom="0.75" header="0.3" footer="0.3"/>
  <pageSetup scale="73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divisions</vt:lpstr>
      <vt:lpstr>categories</vt:lpstr>
      <vt:lpstr>competitors</vt:lpstr>
      <vt:lpstr>competitions</vt:lpstr>
      <vt:lpstr>judges</vt:lpstr>
      <vt:lpstr>RawEntrees</vt:lpstr>
      <vt:lpstr>Manual Scores</vt:lpstr>
      <vt:lpstr>J0</vt:lpstr>
      <vt:lpstr>J1</vt:lpstr>
      <vt:lpstr>J2</vt:lpstr>
      <vt:lpstr>J3</vt:lpstr>
      <vt:lpstr>J4</vt:lpstr>
      <vt:lpstr>J5</vt:lpstr>
      <vt:lpstr>J0!Print_Area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Yang</dc:creator>
  <cp:lastModifiedBy>David Yang [DATACOM]</cp:lastModifiedBy>
  <cp:lastPrinted>2018-12-01T07:00:18Z</cp:lastPrinted>
  <dcterms:created xsi:type="dcterms:W3CDTF">2014-11-14T09:34:24Z</dcterms:created>
  <dcterms:modified xsi:type="dcterms:W3CDTF">2018-12-02T18:47:22Z</dcterms:modified>
</cp:coreProperties>
</file>